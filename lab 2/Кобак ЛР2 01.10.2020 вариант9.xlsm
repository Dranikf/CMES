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ЭтаКнига" defaultThemeVersion="124226"/>
  <bookViews>
    <workbookView xWindow="240" yWindow="105" windowWidth="14805" windowHeight="8010"/>
  </bookViews>
  <sheets>
    <sheet name="Лист1" sheetId="1" r:id="rId1"/>
  </sheets>
  <functionGroups builtInGroupCount="18"/>
  <calcPr calcId="152511"/>
</workbook>
</file>

<file path=xl/calcChain.xml><?xml version="1.0" encoding="utf-8"?>
<calcChain xmlns="http://schemas.openxmlformats.org/spreadsheetml/2006/main">
  <c r="BS7" i="1" l="1"/>
  <c r="BS8" i="1" s="1"/>
  <c r="BS5" i="1"/>
  <c r="BS6" i="1" s="1"/>
  <c r="BJ6" i="1"/>
  <c r="BK6" i="1" l="1"/>
  <c r="BK5" i="1"/>
  <c r="BK4" i="1"/>
  <c r="BJ4" i="1"/>
  <c r="BI6" i="1"/>
  <c r="BI5" i="1"/>
  <c r="BI4" i="1"/>
  <c r="BH5" i="1"/>
  <c r="BH6" i="1"/>
  <c r="BH4" i="1"/>
  <c r="BF5" i="1"/>
  <c r="BG5" i="1"/>
  <c r="BG4" i="1"/>
  <c r="BF4" i="1"/>
  <c r="BE6" i="1"/>
  <c r="BD6" i="1"/>
  <c r="BE5" i="1"/>
  <c r="BE4" i="1"/>
  <c r="AS4" i="1" a="1"/>
  <c r="AS4" i="1" s="1"/>
  <c r="AR4" i="1" a="1"/>
  <c r="AR5" i="1" s="1"/>
  <c r="AH4" i="1" a="1"/>
  <c r="AH4" i="1" s="1"/>
  <c r="AG4" i="1" a="1"/>
  <c r="AG4" i="1" s="1"/>
  <c r="W4" i="1" a="1"/>
  <c r="W4" i="1" s="1"/>
  <c r="V4" i="1" a="1"/>
  <c r="V4" i="1" s="1"/>
  <c r="V47" i="1"/>
  <c r="V51" i="1"/>
  <c r="V55" i="1"/>
  <c r="V59" i="1"/>
  <c r="V63" i="1"/>
  <c r="V67" i="1"/>
  <c r="V71" i="1"/>
  <c r="V75" i="1"/>
  <c r="V79" i="1"/>
  <c r="V83" i="1"/>
  <c r="V87" i="1"/>
  <c r="V91" i="1"/>
  <c r="V95" i="1"/>
  <c r="V99" i="1"/>
  <c r="V103" i="1"/>
  <c r="BD5" i="1"/>
  <c r="AS23" i="1" l="1"/>
  <c r="AS19" i="1"/>
  <c r="AS15" i="1"/>
  <c r="AS11" i="1"/>
  <c r="AS7" i="1"/>
  <c r="AS22" i="1"/>
  <c r="AS18" i="1"/>
  <c r="AS14" i="1"/>
  <c r="AS10" i="1"/>
  <c r="AS6" i="1"/>
  <c r="AS21" i="1"/>
  <c r="AS17" i="1"/>
  <c r="AS13" i="1"/>
  <c r="AS9" i="1"/>
  <c r="AS5" i="1"/>
  <c r="AS24" i="1"/>
  <c r="AS20" i="1"/>
  <c r="AS16" i="1"/>
  <c r="AS12" i="1"/>
  <c r="AS8" i="1"/>
  <c r="AR22" i="1"/>
  <c r="AR18" i="1"/>
  <c r="AR14" i="1"/>
  <c r="AR10" i="1"/>
  <c r="AR6" i="1"/>
  <c r="AR24" i="1"/>
  <c r="AR20" i="1"/>
  <c r="AR16" i="1"/>
  <c r="AR12" i="1"/>
  <c r="AR8" i="1"/>
  <c r="AR4" i="1"/>
  <c r="AR23" i="1"/>
  <c r="AR19" i="1"/>
  <c r="AR15" i="1"/>
  <c r="AR11" i="1"/>
  <c r="AR7" i="1"/>
  <c r="AR21" i="1"/>
  <c r="AR17" i="1"/>
  <c r="AR13" i="1"/>
  <c r="AR9" i="1"/>
  <c r="AH15" i="1"/>
  <c r="AH7" i="1"/>
  <c r="AH18" i="1"/>
  <c r="AH14" i="1"/>
  <c r="AH6" i="1"/>
  <c r="AH17" i="1"/>
  <c r="AH13" i="1"/>
  <c r="AH9" i="1"/>
  <c r="AH5" i="1"/>
  <c r="AH19" i="1"/>
  <c r="AH11" i="1"/>
  <c r="AH10" i="1"/>
  <c r="AH16" i="1"/>
  <c r="AH12" i="1"/>
  <c r="AH8" i="1"/>
  <c r="AG15" i="1"/>
  <c r="AG7" i="1"/>
  <c r="AG14" i="1"/>
  <c r="AG17" i="1"/>
  <c r="AG13" i="1"/>
  <c r="AG9" i="1"/>
  <c r="AG5" i="1"/>
  <c r="AG19" i="1"/>
  <c r="AG11" i="1"/>
  <c r="AG18" i="1"/>
  <c r="AG10" i="1"/>
  <c r="AG6" i="1"/>
  <c r="AG16" i="1"/>
  <c r="AG12" i="1"/>
  <c r="AG8" i="1"/>
  <c r="W102" i="1"/>
  <c r="W98" i="1"/>
  <c r="W94" i="1"/>
  <c r="W90" i="1"/>
  <c r="W86" i="1"/>
  <c r="W82" i="1"/>
  <c r="W78" i="1"/>
  <c r="W74" i="1"/>
  <c r="W70" i="1"/>
  <c r="W66" i="1"/>
  <c r="W62" i="1"/>
  <c r="W58" i="1"/>
  <c r="W54" i="1"/>
  <c r="W50" i="1"/>
  <c r="W46" i="1"/>
  <c r="W42" i="1"/>
  <c r="W38" i="1"/>
  <c r="W34" i="1"/>
  <c r="W30" i="1"/>
  <c r="W26" i="1"/>
  <c r="W22" i="1"/>
  <c r="W18" i="1"/>
  <c r="W14" i="1"/>
  <c r="W10" i="1"/>
  <c r="W6" i="1"/>
  <c r="W103" i="1"/>
  <c r="W99" i="1"/>
  <c r="W95" i="1"/>
  <c r="W91" i="1"/>
  <c r="W87" i="1"/>
  <c r="W83" i="1"/>
  <c r="W79" i="1"/>
  <c r="W75" i="1"/>
  <c r="W71" i="1"/>
  <c r="W67" i="1"/>
  <c r="W63" i="1"/>
  <c r="W59" i="1"/>
  <c r="W55" i="1"/>
  <c r="W51" i="1"/>
  <c r="W47" i="1"/>
  <c r="W43" i="1"/>
  <c r="W39" i="1"/>
  <c r="W35" i="1"/>
  <c r="W31" i="1"/>
  <c r="W27" i="1"/>
  <c r="W23" i="1"/>
  <c r="W19" i="1"/>
  <c r="W15" i="1"/>
  <c r="W11" i="1"/>
  <c r="W7" i="1"/>
  <c r="W101" i="1"/>
  <c r="W97" i="1"/>
  <c r="W93" i="1"/>
  <c r="W89" i="1"/>
  <c r="W85" i="1"/>
  <c r="W81" i="1"/>
  <c r="W77" i="1"/>
  <c r="W73" i="1"/>
  <c r="W69" i="1"/>
  <c r="W65" i="1"/>
  <c r="W61" i="1"/>
  <c r="W57" i="1"/>
  <c r="W53" i="1"/>
  <c r="W49" i="1"/>
  <c r="W45" i="1"/>
  <c r="W41" i="1"/>
  <c r="W37" i="1"/>
  <c r="W33" i="1"/>
  <c r="W29" i="1"/>
  <c r="W25" i="1"/>
  <c r="W21" i="1"/>
  <c r="W17" i="1"/>
  <c r="W13" i="1"/>
  <c r="W9" i="1"/>
  <c r="W5" i="1"/>
  <c r="W100" i="1"/>
  <c r="W96" i="1"/>
  <c r="W92" i="1"/>
  <c r="W88" i="1"/>
  <c r="W84" i="1"/>
  <c r="W80" i="1"/>
  <c r="W76" i="1"/>
  <c r="W72" i="1"/>
  <c r="W68" i="1"/>
  <c r="W64" i="1"/>
  <c r="W60" i="1"/>
  <c r="W56" i="1"/>
  <c r="W52" i="1"/>
  <c r="W48" i="1"/>
  <c r="W44" i="1"/>
  <c r="W40" i="1"/>
  <c r="W36" i="1"/>
  <c r="W32" i="1"/>
  <c r="W28" i="1"/>
  <c r="W24" i="1"/>
  <c r="W20" i="1"/>
  <c r="W16" i="1"/>
  <c r="W12" i="1"/>
  <c r="W8" i="1"/>
  <c r="V43" i="1"/>
  <c r="V39" i="1"/>
  <c r="V35" i="1"/>
  <c r="V31" i="1"/>
  <c r="V27" i="1"/>
  <c r="V23" i="1"/>
  <c r="V19" i="1"/>
  <c r="V15" i="1"/>
  <c r="V11" i="1"/>
  <c r="V7" i="1"/>
  <c r="V102" i="1"/>
  <c r="V98" i="1"/>
  <c r="V94" i="1"/>
  <c r="V90" i="1"/>
  <c r="V86" i="1"/>
  <c r="V82" i="1"/>
  <c r="V78" i="1"/>
  <c r="V74" i="1"/>
  <c r="V70" i="1"/>
  <c r="V66" i="1"/>
  <c r="V62" i="1"/>
  <c r="V58" i="1"/>
  <c r="V54" i="1"/>
  <c r="V50" i="1"/>
  <c r="V46" i="1"/>
  <c r="V42" i="1"/>
  <c r="V38" i="1"/>
  <c r="V34" i="1"/>
  <c r="V30" i="1"/>
  <c r="V26" i="1"/>
  <c r="V22" i="1"/>
  <c r="V18" i="1"/>
  <c r="V14" i="1"/>
  <c r="V10" i="1"/>
  <c r="V6" i="1"/>
  <c r="V101" i="1"/>
  <c r="V97" i="1"/>
  <c r="V93" i="1"/>
  <c r="V89" i="1"/>
  <c r="V85" i="1"/>
  <c r="V81" i="1"/>
  <c r="V77" i="1"/>
  <c r="V73" i="1"/>
  <c r="V69" i="1"/>
  <c r="V65" i="1"/>
  <c r="V61" i="1"/>
  <c r="V57" i="1"/>
  <c r="V53" i="1"/>
  <c r="V49" i="1"/>
  <c r="V45" i="1"/>
  <c r="V41" i="1"/>
  <c r="V37" i="1"/>
  <c r="V33" i="1"/>
  <c r="V29" i="1"/>
  <c r="V25" i="1"/>
  <c r="V21" i="1"/>
  <c r="V17" i="1"/>
  <c r="V13" i="1"/>
  <c r="V9" i="1"/>
  <c r="V5" i="1"/>
  <c r="V100" i="1"/>
  <c r="V96" i="1"/>
  <c r="V92" i="1"/>
  <c r="V88" i="1"/>
  <c r="V84" i="1"/>
  <c r="V80" i="1"/>
  <c r="V76" i="1"/>
  <c r="V72" i="1"/>
  <c r="V68" i="1"/>
  <c r="V64" i="1"/>
  <c r="V60" i="1"/>
  <c r="V56" i="1"/>
  <c r="V52" i="1"/>
  <c r="V48" i="1"/>
  <c r="V44" i="1"/>
  <c r="V40" i="1"/>
  <c r="V36" i="1"/>
  <c r="V32" i="1"/>
  <c r="V28" i="1"/>
  <c r="V24" i="1"/>
  <c r="V20" i="1"/>
  <c r="V16" i="1"/>
  <c r="V12" i="1"/>
  <c r="V8" i="1"/>
  <c r="L3" i="1" a="1"/>
  <c r="L3" i="1" l="1"/>
  <c r="L7" i="1"/>
  <c r="L11" i="1"/>
  <c r="L15" i="1"/>
  <c r="L19" i="1"/>
  <c r="L23" i="1"/>
  <c r="L27" i="1"/>
  <c r="L31" i="1"/>
  <c r="L35" i="1"/>
  <c r="L39" i="1"/>
  <c r="L43" i="1"/>
  <c r="L47" i="1"/>
  <c r="L51" i="1"/>
  <c r="L55" i="1"/>
  <c r="L36" i="1"/>
  <c r="L44" i="1"/>
  <c r="L48" i="1"/>
  <c r="L56" i="1"/>
  <c r="L5" i="1"/>
  <c r="L13" i="1"/>
  <c r="L17" i="1"/>
  <c r="L25" i="1"/>
  <c r="L33" i="1"/>
  <c r="L41" i="1"/>
  <c r="L49" i="1"/>
  <c r="L57" i="1"/>
  <c r="L10" i="1"/>
  <c r="L18" i="1"/>
  <c r="L26" i="1"/>
  <c r="L34" i="1"/>
  <c r="L42" i="1"/>
  <c r="L50" i="1"/>
  <c r="L58" i="1"/>
  <c r="L4" i="1"/>
  <c r="L8" i="1"/>
  <c r="L12" i="1"/>
  <c r="L16" i="1"/>
  <c r="L20" i="1"/>
  <c r="L24" i="1"/>
  <c r="L28" i="1"/>
  <c r="L32" i="1"/>
  <c r="L40" i="1"/>
  <c r="L52" i="1"/>
  <c r="L9" i="1"/>
  <c r="L21" i="1"/>
  <c r="L29" i="1"/>
  <c r="L37" i="1"/>
  <c r="L45" i="1"/>
  <c r="L53" i="1"/>
  <c r="L6" i="1"/>
  <c r="L14" i="1"/>
  <c r="L22" i="1"/>
  <c r="L30" i="1"/>
  <c r="L38" i="1"/>
  <c r="L46" i="1"/>
  <c r="L54" i="1"/>
</calcChain>
</file>

<file path=xl/sharedStrings.xml><?xml version="1.0" encoding="utf-8"?>
<sst xmlns="http://schemas.openxmlformats.org/spreadsheetml/2006/main" count="59" uniqueCount="44">
  <si>
    <t>дано</t>
  </si>
  <si>
    <t xml:space="preserve">равномерное </t>
  </si>
  <si>
    <t>a</t>
  </si>
  <si>
    <t>b</t>
  </si>
  <si>
    <t>нормальное</t>
  </si>
  <si>
    <t>сигма</t>
  </si>
  <si>
    <t>биномиальное</t>
  </si>
  <si>
    <t>р</t>
  </si>
  <si>
    <t>n</t>
  </si>
  <si>
    <t>Пуассон</t>
  </si>
  <si>
    <t>лямбда</t>
  </si>
  <si>
    <t>А</t>
  </si>
  <si>
    <t>задание 1</t>
  </si>
  <si>
    <t>Б</t>
  </si>
  <si>
    <t>В</t>
  </si>
  <si>
    <t>Г</t>
  </si>
  <si>
    <t>x</t>
  </si>
  <si>
    <t>F(x)</t>
  </si>
  <si>
    <t>равномерное распределение</t>
  </si>
  <si>
    <t>f(x)</t>
  </si>
  <si>
    <t>нормальное распределение</t>
  </si>
  <si>
    <t>биномиальное распределение</t>
  </si>
  <si>
    <t>распределение пуассона</t>
  </si>
  <si>
    <t>задание 2</t>
  </si>
  <si>
    <t>характеристика</t>
  </si>
  <si>
    <t>МО</t>
  </si>
  <si>
    <t>дисперсия</t>
  </si>
  <si>
    <t>медиана</t>
  </si>
  <si>
    <t>равномерное</t>
  </si>
  <si>
    <t>теор</t>
  </si>
  <si>
    <t>выбороч</t>
  </si>
  <si>
    <t>выборч</t>
  </si>
  <si>
    <t>пуассона</t>
  </si>
  <si>
    <t>выбор</t>
  </si>
  <si>
    <t>задание 3</t>
  </si>
  <si>
    <t>0 = орел</t>
  </si>
  <si>
    <t>1 = решка</t>
  </si>
  <si>
    <t>монета 1</t>
  </si>
  <si>
    <t>монета 2</t>
  </si>
  <si>
    <t>решка на монете 1</t>
  </si>
  <si>
    <t>орел на монете 1</t>
  </si>
  <si>
    <t>решка на монете 2</t>
  </si>
  <si>
    <t>орел на монете 2</t>
  </si>
  <si>
    <t>задание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</si>
</sst>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0" fillId="0" borderId="5" xfId="0" applyBorder="1"/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4" xfId="0" applyBorder="1"/>
    <xf numFmtId="0" fontId="0" fillId="0" borderId="6" xfId="0" applyBorder="1"/>
    <xf numFmtId="0" fontId="0" fillId="0" borderId="0" xfId="0" applyFill="1" applyBorder="1"/>
    <xf numFmtId="0" fontId="0" fillId="0" borderId="1" xfId="0" applyFill="1" applyBorder="1"/>
    <xf numFmtId="0" fontId="0" fillId="0" borderId="3" xfId="0" applyFill="1" applyBorder="1"/>
    <xf numFmtId="0" fontId="0" fillId="0" borderId="4" xfId="0" applyFill="1" applyBorder="1"/>
    <xf numFmtId="0" fontId="0" fillId="0" borderId="6" xfId="0" applyFill="1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9" xfId="0" applyFill="1" applyBorder="1"/>
    <xf numFmtId="0" fontId="0" fillId="0" borderId="11" xfId="0" applyFill="1" applyBorder="1"/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7" xfId="0" applyFill="1" applyBorder="1"/>
    <xf numFmtId="0" fontId="0" fillId="0" borderId="8" xfId="0" applyFill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5" xfId="0" applyBorder="1" applyAlignment="1">
      <alignment horizontal="center"/>
    </xf>
    <xf numFmtId="0" fontId="0" fillId="0" borderId="8" xfId="0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график</a:t>
            </a:r>
            <a:r>
              <a:rPr lang="ru-RU" baseline="0"/>
              <a:t> функции распределения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Лист1!$K$3:$K$58</c:f>
              <c:numCache>
                <c:formatCode>General</c:formatCode>
                <c:ptCount val="56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  <c:pt idx="50">
                  <c:v>10</c:v>
                </c:pt>
                <c:pt idx="51">
                  <c:v>10.199999999999999</c:v>
                </c:pt>
                <c:pt idx="52">
                  <c:v>10.4</c:v>
                </c:pt>
                <c:pt idx="53">
                  <c:v>10.6</c:v>
                </c:pt>
                <c:pt idx="54">
                  <c:v>10.8</c:v>
                </c:pt>
                <c:pt idx="55">
                  <c:v>11</c:v>
                </c:pt>
              </c:numCache>
            </c:numRef>
          </c:xVal>
          <c:yVal>
            <c:numRef>
              <c:f>Лист1!$L$3:$L$58</c:f>
              <c:numCache>
                <c:formatCode>General</c:formatCode>
                <c:ptCount val="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3.3333333333333361E-2</c:v>
                </c:pt>
                <c:pt idx="17">
                  <c:v>6.6666666666666652E-2</c:v>
                </c:pt>
                <c:pt idx="18">
                  <c:v>0.10000000000000002</c:v>
                </c:pt>
                <c:pt idx="19">
                  <c:v>0.1333333333333333</c:v>
                </c:pt>
                <c:pt idx="20">
                  <c:v>0.16666666666666666</c:v>
                </c:pt>
                <c:pt idx="21">
                  <c:v>0.20000000000000004</c:v>
                </c:pt>
                <c:pt idx="22">
                  <c:v>0.23333333333333339</c:v>
                </c:pt>
                <c:pt idx="23">
                  <c:v>0.26666666666666661</c:v>
                </c:pt>
                <c:pt idx="24">
                  <c:v>0.3</c:v>
                </c:pt>
                <c:pt idx="25">
                  <c:v>0.33333333333333331</c:v>
                </c:pt>
                <c:pt idx="26">
                  <c:v>0.3666666666666667</c:v>
                </c:pt>
                <c:pt idx="27">
                  <c:v>0.40000000000000008</c:v>
                </c:pt>
                <c:pt idx="28">
                  <c:v>0.43333333333333329</c:v>
                </c:pt>
                <c:pt idx="29">
                  <c:v>0.46666666666666662</c:v>
                </c:pt>
                <c:pt idx="30">
                  <c:v>0.5</c:v>
                </c:pt>
                <c:pt idx="31">
                  <c:v>0.53333333333333333</c:v>
                </c:pt>
                <c:pt idx="32">
                  <c:v>0.56666666666666676</c:v>
                </c:pt>
                <c:pt idx="33">
                  <c:v>0.6</c:v>
                </c:pt>
                <c:pt idx="34">
                  <c:v>0.6333333333333333</c:v>
                </c:pt>
                <c:pt idx="35">
                  <c:v>0.66666666666666663</c:v>
                </c:pt>
                <c:pt idx="36">
                  <c:v>0.70000000000000007</c:v>
                </c:pt>
                <c:pt idx="37">
                  <c:v>0.73333333333333339</c:v>
                </c:pt>
                <c:pt idx="38">
                  <c:v>0.76666666666666661</c:v>
                </c:pt>
                <c:pt idx="39">
                  <c:v>0.79999999999999993</c:v>
                </c:pt>
                <c:pt idx="40">
                  <c:v>0.83333333333333337</c:v>
                </c:pt>
                <c:pt idx="41">
                  <c:v>0.86666666666666659</c:v>
                </c:pt>
                <c:pt idx="42">
                  <c:v>0.9</c:v>
                </c:pt>
                <c:pt idx="43">
                  <c:v>0.93333333333333324</c:v>
                </c:pt>
                <c:pt idx="44">
                  <c:v>0.96666666666666679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8614144"/>
        <c:axId val="878615776"/>
      </c:scatterChart>
      <c:valAx>
        <c:axId val="878614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78615776"/>
        <c:crosses val="autoZero"/>
        <c:crossBetween val="midCat"/>
      </c:valAx>
      <c:valAx>
        <c:axId val="878615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78614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интегральная</a:t>
            </a:r>
            <a:r>
              <a:rPr lang="ru-RU" baseline="0"/>
              <a:t> функция распределения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Лист1!$U$4:$U$103</c:f>
              <c:numCache>
                <c:formatCode>General</c:formatCode>
                <c:ptCount val="100"/>
                <c:pt idx="0">
                  <c:v>-4.2308314479887486</c:v>
                </c:pt>
                <c:pt idx="1">
                  <c:v>-2.7280369724612683</c:v>
                </c:pt>
                <c:pt idx="2">
                  <c:v>-2.353725332999602</c:v>
                </c:pt>
                <c:pt idx="3">
                  <c:v>-2.2717071007937193</c:v>
                </c:pt>
                <c:pt idx="4">
                  <c:v>-2.1059789762366563</c:v>
                </c:pt>
                <c:pt idx="5">
                  <c:v>-1.7850546757690609</c:v>
                </c:pt>
                <c:pt idx="6">
                  <c:v>-1.548804332036525</c:v>
                </c:pt>
                <c:pt idx="7">
                  <c:v>-1.3536540538771078</c:v>
                </c:pt>
                <c:pt idx="8">
                  <c:v>-1.2340418581734411</c:v>
                </c:pt>
                <c:pt idx="9">
                  <c:v>-1.1825371732120402</c:v>
                </c:pt>
                <c:pt idx="10">
                  <c:v>-1.0942025003023446</c:v>
                </c:pt>
                <c:pt idx="11">
                  <c:v>-1.0396601030370221</c:v>
                </c:pt>
                <c:pt idx="12">
                  <c:v>-0.91446360986446962</c:v>
                </c:pt>
                <c:pt idx="13">
                  <c:v>-0.79040853254264221</c:v>
                </c:pt>
                <c:pt idx="14">
                  <c:v>-0.69294253282714635</c:v>
                </c:pt>
                <c:pt idx="15">
                  <c:v>-0.67614416568540037</c:v>
                </c:pt>
                <c:pt idx="16">
                  <c:v>-0.63990080181974918</c:v>
                </c:pt>
                <c:pt idx="17">
                  <c:v>-0.60503304869052954</c:v>
                </c:pt>
                <c:pt idx="18">
                  <c:v>-0.56585883814841509</c:v>
                </c:pt>
                <c:pt idx="19">
                  <c:v>-0.39715211844304577</c:v>
                </c:pt>
                <c:pt idx="20">
                  <c:v>-0.381959009449929</c:v>
                </c:pt>
                <c:pt idx="21">
                  <c:v>-0.37982397063751705</c:v>
                </c:pt>
                <c:pt idx="22">
                  <c:v>-0.19038759294198826</c:v>
                </c:pt>
                <c:pt idx="23">
                  <c:v>-0.14953991214861162</c:v>
                </c:pt>
                <c:pt idx="24">
                  <c:v>-0.1016800272045657</c:v>
                </c:pt>
                <c:pt idx="25">
                  <c:v>7.2369973873719573E-2</c:v>
                </c:pt>
                <c:pt idx="26">
                  <c:v>0.12386101641459391</c:v>
                </c:pt>
                <c:pt idx="27">
                  <c:v>0.14754425844876096</c:v>
                </c:pt>
                <c:pt idx="28">
                  <c:v>0.22334836810478009</c:v>
                </c:pt>
                <c:pt idx="29">
                  <c:v>0.35263303996180184</c:v>
                </c:pt>
                <c:pt idx="30">
                  <c:v>0.38286919132224284</c:v>
                </c:pt>
                <c:pt idx="31">
                  <c:v>0.40529505693120882</c:v>
                </c:pt>
                <c:pt idx="32">
                  <c:v>0.43609054753324017</c:v>
                </c:pt>
                <c:pt idx="33">
                  <c:v>0.45643821774865501</c:v>
                </c:pt>
                <c:pt idx="34">
                  <c:v>0.53037786326603964</c:v>
                </c:pt>
                <c:pt idx="35">
                  <c:v>0.54012309899553657</c:v>
                </c:pt>
                <c:pt idx="36">
                  <c:v>0.58040689307381399</c:v>
                </c:pt>
                <c:pt idx="37">
                  <c:v>0.60134118737187237</c:v>
                </c:pt>
                <c:pt idx="38">
                  <c:v>0.66730911182821728</c:v>
                </c:pt>
                <c:pt idx="39">
                  <c:v>0.70804310578387231</c:v>
                </c:pt>
                <c:pt idx="40">
                  <c:v>0.7373924998100847</c:v>
                </c:pt>
                <c:pt idx="41">
                  <c:v>0.84309397405013442</c:v>
                </c:pt>
                <c:pt idx="42">
                  <c:v>0.84723672241671011</c:v>
                </c:pt>
                <c:pt idx="43">
                  <c:v>0.91146296451915987</c:v>
                </c:pt>
                <c:pt idx="44">
                  <c:v>0.97651457306346856</c:v>
                </c:pt>
                <c:pt idx="45">
                  <c:v>0.99411102180602029</c:v>
                </c:pt>
                <c:pt idx="46">
                  <c:v>1.0166005520441104</c:v>
                </c:pt>
                <c:pt idx="47">
                  <c:v>1.1971488927665632</c:v>
                </c:pt>
                <c:pt idx="48">
                  <c:v>1.2488786776666529</c:v>
                </c:pt>
                <c:pt idx="49">
                  <c:v>1.2504202711861581</c:v>
                </c:pt>
                <c:pt idx="50">
                  <c:v>1.3392074177099857</c:v>
                </c:pt>
                <c:pt idx="51">
                  <c:v>1.4286675903131254</c:v>
                </c:pt>
                <c:pt idx="52">
                  <c:v>1.545308012078749</c:v>
                </c:pt>
                <c:pt idx="53">
                  <c:v>1.5530932867259253</c:v>
                </c:pt>
                <c:pt idx="54">
                  <c:v>1.5626361598842777</c:v>
                </c:pt>
                <c:pt idx="55">
                  <c:v>1.5824017534905579</c:v>
                </c:pt>
                <c:pt idx="56">
                  <c:v>1.7745074981357902</c:v>
                </c:pt>
                <c:pt idx="57">
                  <c:v>1.8712572707736399</c:v>
                </c:pt>
                <c:pt idx="58">
                  <c:v>1.8892948244465515</c:v>
                </c:pt>
                <c:pt idx="59">
                  <c:v>1.9048585525306407</c:v>
                </c:pt>
                <c:pt idx="60">
                  <c:v>1.9097766451304778</c:v>
                </c:pt>
                <c:pt idx="61">
                  <c:v>1.9651057553128339</c:v>
                </c:pt>
                <c:pt idx="62">
                  <c:v>1.9702625902718864</c:v>
                </c:pt>
                <c:pt idx="63">
                  <c:v>2.1634642760327552</c:v>
                </c:pt>
                <c:pt idx="64">
                  <c:v>2.167634309240384</c:v>
                </c:pt>
                <c:pt idx="65">
                  <c:v>2.2050304576405324</c:v>
                </c:pt>
                <c:pt idx="66">
                  <c:v>2.2178998076706193</c:v>
                </c:pt>
                <c:pt idx="67">
                  <c:v>2.3410681276582181</c:v>
                </c:pt>
                <c:pt idx="68">
                  <c:v>2.3771068552159704</c:v>
                </c:pt>
                <c:pt idx="69">
                  <c:v>2.4679426385555416</c:v>
                </c:pt>
                <c:pt idx="70">
                  <c:v>2.4922898117220029</c:v>
                </c:pt>
                <c:pt idx="71">
                  <c:v>2.5046452972455882</c:v>
                </c:pt>
                <c:pt idx="72">
                  <c:v>2.5099294614628889</c:v>
                </c:pt>
                <c:pt idx="73">
                  <c:v>2.5453633750439622</c:v>
                </c:pt>
                <c:pt idx="74">
                  <c:v>2.5662772057112306</c:v>
                </c:pt>
                <c:pt idx="75">
                  <c:v>2.6411877368227579</c:v>
                </c:pt>
                <c:pt idx="76">
                  <c:v>2.7633919924264774</c:v>
                </c:pt>
                <c:pt idx="77">
                  <c:v>2.8200717022409663</c:v>
                </c:pt>
                <c:pt idx="78">
                  <c:v>2.8216906028101221</c:v>
                </c:pt>
                <c:pt idx="79">
                  <c:v>2.8468517737346701</c:v>
                </c:pt>
                <c:pt idx="80">
                  <c:v>3.0507559383986518</c:v>
                </c:pt>
                <c:pt idx="81">
                  <c:v>3.1408322936622426</c:v>
                </c:pt>
                <c:pt idx="82">
                  <c:v>3.2071208150009625</c:v>
                </c:pt>
                <c:pt idx="83">
                  <c:v>3.2735957827535458</c:v>
                </c:pt>
                <c:pt idx="84">
                  <c:v>3.3628490453120321</c:v>
                </c:pt>
                <c:pt idx="85">
                  <c:v>3.3832672013668343</c:v>
                </c:pt>
                <c:pt idx="86">
                  <c:v>3.4635983209009282</c:v>
                </c:pt>
                <c:pt idx="87">
                  <c:v>3.4711334845051169</c:v>
                </c:pt>
                <c:pt idx="88">
                  <c:v>3.5446752260904759</c:v>
                </c:pt>
                <c:pt idx="89">
                  <c:v>3.581191438366659</c:v>
                </c:pt>
                <c:pt idx="90">
                  <c:v>3.5871850084513426</c:v>
                </c:pt>
                <c:pt idx="91">
                  <c:v>3.6532234187470749</c:v>
                </c:pt>
                <c:pt idx="92">
                  <c:v>3.7011992642655969</c:v>
                </c:pt>
                <c:pt idx="93">
                  <c:v>3.7738042263081297</c:v>
                </c:pt>
                <c:pt idx="94">
                  <c:v>4.0706905818078667</c:v>
                </c:pt>
                <c:pt idx="95">
                  <c:v>4.08569724438712</c:v>
                </c:pt>
                <c:pt idx="96">
                  <c:v>4.1688068702351302</c:v>
                </c:pt>
                <c:pt idx="97">
                  <c:v>4.4587355912663043</c:v>
                </c:pt>
                <c:pt idx="98">
                  <c:v>4.9914993976708502</c:v>
                </c:pt>
                <c:pt idx="99">
                  <c:v>6.9761805459856987</c:v>
                </c:pt>
              </c:numCache>
            </c:numRef>
          </c:xVal>
          <c:yVal>
            <c:numRef>
              <c:f>Лист1!$V$4:$V$103</c:f>
              <c:numCache>
                <c:formatCode>General</c:formatCode>
                <c:ptCount val="100"/>
                <c:pt idx="0">
                  <c:v>4.4559455545012099E-3</c:v>
                </c:pt>
                <c:pt idx="1">
                  <c:v>3.1159554171577872E-2</c:v>
                </c:pt>
                <c:pt idx="2">
                  <c:v>4.6784670028756775E-2</c:v>
                </c:pt>
                <c:pt idx="3">
                  <c:v>5.0935120677292021E-2</c:v>
                </c:pt>
                <c:pt idx="4">
                  <c:v>6.0212822977528668E-2</c:v>
                </c:pt>
                <c:pt idx="5">
                  <c:v>8.1881384580246491E-2</c:v>
                </c:pt>
                <c:pt idx="6">
                  <c:v>0.10126046254336697</c:v>
                </c:pt>
                <c:pt idx="7">
                  <c:v>0.11963227643220323</c:v>
                </c:pt>
                <c:pt idx="8">
                  <c:v>0.13199268831526448</c:v>
                </c:pt>
                <c:pt idx="9">
                  <c:v>0.13757735802175938</c:v>
                </c:pt>
                <c:pt idx="10">
                  <c:v>0.14752644140297527</c:v>
                </c:pt>
                <c:pt idx="11">
                  <c:v>0.15390453408087065</c:v>
                </c:pt>
                <c:pt idx="12">
                  <c:v>0.16922513361639524</c:v>
                </c:pt>
                <c:pt idx="13">
                  <c:v>0.18533895228348937</c:v>
                </c:pt>
                <c:pt idx="14">
                  <c:v>0.19864494827767651</c:v>
                </c:pt>
                <c:pt idx="15">
                  <c:v>0.20099511044441976</c:v>
                </c:pt>
                <c:pt idx="16">
                  <c:v>0.20612219141734064</c:v>
                </c:pt>
                <c:pt idx="17">
                  <c:v>0.21112711684879676</c:v>
                </c:pt>
                <c:pt idx="18">
                  <c:v>0.21683428027423829</c:v>
                </c:pt>
                <c:pt idx="19">
                  <c:v>0.24240850485023774</c:v>
                </c:pt>
                <c:pt idx="20">
                  <c:v>0.24478921048423113</c:v>
                </c:pt>
                <c:pt idx="21">
                  <c:v>0.24512476911669734</c:v>
                </c:pt>
                <c:pt idx="22">
                  <c:v>0.27585696826032513</c:v>
                </c:pt>
                <c:pt idx="23">
                  <c:v>0.2827234441356305</c:v>
                </c:pt>
                <c:pt idx="24">
                  <c:v>0.29087167585591162</c:v>
                </c:pt>
                <c:pt idx="25">
                  <c:v>0.3213901430995465</c:v>
                </c:pt>
                <c:pt idx="26">
                  <c:v>0.33066795459068365</c:v>
                </c:pt>
                <c:pt idx="27">
                  <c:v>0.33497090532315077</c:v>
                </c:pt>
                <c:pt idx="28">
                  <c:v>0.34888746749100691</c:v>
                </c:pt>
                <c:pt idx="29">
                  <c:v>0.3730888395694501</c:v>
                </c:pt>
                <c:pt idx="30">
                  <c:v>0.37882607037978733</c:v>
                </c:pt>
                <c:pt idx="31">
                  <c:v>0.38309871283015262</c:v>
                </c:pt>
                <c:pt idx="32">
                  <c:v>0.38898911280544707</c:v>
                </c:pt>
                <c:pt idx="33">
                  <c:v>0.39289524951574228</c:v>
                </c:pt>
                <c:pt idx="34">
                  <c:v>0.40717768829359274</c:v>
                </c:pt>
                <c:pt idx="35">
                  <c:v>0.40906979876654065</c:v>
                </c:pt>
                <c:pt idx="36">
                  <c:v>0.41691323157157373</c:v>
                </c:pt>
                <c:pt idx="37">
                  <c:v>0.42100253888856787</c:v>
                </c:pt>
                <c:pt idx="38">
                  <c:v>0.4339425524910242</c:v>
                </c:pt>
                <c:pt idx="39">
                  <c:v>0.44196920143216134</c:v>
                </c:pt>
                <c:pt idx="40">
                  <c:v>0.4477675126652062</c:v>
                </c:pt>
                <c:pt idx="41">
                  <c:v>0.46873385259033951</c:v>
                </c:pt>
                <c:pt idx="42">
                  <c:v>0.46955773852423077</c:v>
                </c:pt>
                <c:pt idx="43">
                  <c:v>0.48234518313321684</c:v>
                </c:pt>
                <c:pt idx="44">
                  <c:v>0.49531544277107986</c:v>
                </c:pt>
                <c:pt idx="45">
                  <c:v>0.49882532050244499</c:v>
                </c:pt>
                <c:pt idx="46">
                  <c:v>0.50331129302246491</c:v>
                </c:pt>
                <c:pt idx="47">
                  <c:v>0.53926191999266404</c:v>
                </c:pt>
                <c:pt idx="48">
                  <c:v>0.54951628624543347</c:v>
                </c:pt>
                <c:pt idx="49">
                  <c:v>0.5498214033241825</c:v>
                </c:pt>
                <c:pt idx="50">
                  <c:v>0.56733909721638531</c:v>
                </c:pt>
                <c:pt idx="51">
                  <c:v>0.58485661719342485</c:v>
                </c:pt>
                <c:pt idx="52">
                  <c:v>0.60744040333572968</c:v>
                </c:pt>
                <c:pt idx="53">
                  <c:v>0.60893588018245448</c:v>
                </c:pt>
                <c:pt idx="54">
                  <c:v>0.61076677787691946</c:v>
                </c:pt>
                <c:pt idx="55">
                  <c:v>0.61455115396463111</c:v>
                </c:pt>
                <c:pt idx="56">
                  <c:v>0.65071581887483132</c:v>
                </c:pt>
                <c:pt idx="57">
                  <c:v>0.66844690440743926</c:v>
                </c:pt>
                <c:pt idx="58">
                  <c:v>0.6717127108009705</c:v>
                </c:pt>
                <c:pt idx="59">
                  <c:v>0.6745201199069254</c:v>
                </c:pt>
                <c:pt idx="60">
                  <c:v>0.67540520782660929</c:v>
                </c:pt>
                <c:pt idx="61">
                  <c:v>0.68529337767699838</c:v>
                </c:pt>
                <c:pt idx="62">
                  <c:v>0.68620839297296843</c:v>
                </c:pt>
                <c:pt idx="63">
                  <c:v>0.71962643973078932</c:v>
                </c:pt>
                <c:pt idx="64">
                  <c:v>0.72032833226044157</c:v>
                </c:pt>
                <c:pt idx="65">
                  <c:v>0.72658438537879566</c:v>
                </c:pt>
                <c:pt idx="66">
                  <c:v>0.7287211775963216</c:v>
                </c:pt>
                <c:pt idx="67">
                  <c:v>0.74874130042152087</c:v>
                </c:pt>
                <c:pt idx="68">
                  <c:v>0.75444783125474713</c:v>
                </c:pt>
                <c:pt idx="69">
                  <c:v>0.76851689087959696</c:v>
                </c:pt>
                <c:pt idx="70">
                  <c:v>0.77221005745045646</c:v>
                </c:pt>
                <c:pt idx="71">
                  <c:v>0.77407147458632453</c:v>
                </c:pt>
                <c:pt idx="72">
                  <c:v>0.7748649277382722</c:v>
                </c:pt>
                <c:pt idx="73">
                  <c:v>0.78014460653987927</c:v>
                </c:pt>
                <c:pt idx="74">
                  <c:v>0.78322713776172703</c:v>
                </c:pt>
                <c:pt idx="75">
                  <c:v>0.79406117928445208</c:v>
                </c:pt>
                <c:pt idx="76">
                  <c:v>0.81102938663410717</c:v>
                </c:pt>
                <c:pt idx="77">
                  <c:v>0.81859819846576209</c:v>
                </c:pt>
                <c:pt idx="78">
                  <c:v>0.81881155524768912</c:v>
                </c:pt>
                <c:pt idx="79">
                  <c:v>0.8221073467737029</c:v>
                </c:pt>
                <c:pt idx="80">
                  <c:v>0.84740756041095433</c:v>
                </c:pt>
                <c:pt idx="81">
                  <c:v>0.85778398277145729</c:v>
                </c:pt>
                <c:pt idx="82">
                  <c:v>0.86510806304381926</c:v>
                </c:pt>
                <c:pt idx="83">
                  <c:v>0.87218860747287252</c:v>
                </c:pt>
                <c:pt idx="84">
                  <c:v>0.88128293950937575</c:v>
                </c:pt>
                <c:pt idx="85">
                  <c:v>0.88329752801308736</c:v>
                </c:pt>
                <c:pt idx="86">
                  <c:v>0.89098794148962068</c:v>
                </c:pt>
                <c:pt idx="87">
                  <c:v>0.89169017332976386</c:v>
                </c:pt>
                <c:pt idx="88">
                  <c:v>0.89837340501021801</c:v>
                </c:pt>
                <c:pt idx="89">
                  <c:v>0.90157804940584363</c:v>
                </c:pt>
                <c:pt idx="90">
                  <c:v>0.90209689351017819</c:v>
                </c:pt>
                <c:pt idx="91">
                  <c:v>0.90768141978440409</c:v>
                </c:pt>
                <c:pt idx="92">
                  <c:v>0.91158814063860549</c:v>
                </c:pt>
                <c:pt idx="93">
                  <c:v>0.91726419329420117</c:v>
                </c:pt>
                <c:pt idx="94">
                  <c:v>0.93765048270972307</c:v>
                </c:pt>
                <c:pt idx="95">
                  <c:v>0.93856624546453715</c:v>
                </c:pt>
                <c:pt idx="96">
                  <c:v>0.94344902964283295</c:v>
                </c:pt>
                <c:pt idx="97">
                  <c:v>0.95812835501969373</c:v>
                </c:pt>
                <c:pt idx="98">
                  <c:v>0.9770194127596934</c:v>
                </c:pt>
                <c:pt idx="99">
                  <c:v>0.99859636688355624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0725536"/>
        <c:axId val="880724448"/>
      </c:scatterChart>
      <c:valAx>
        <c:axId val="880725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80724448"/>
        <c:crosses val="autoZero"/>
        <c:crossBetween val="midCat"/>
      </c:valAx>
      <c:valAx>
        <c:axId val="88072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80725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функция</a:t>
            </a:r>
            <a:r>
              <a:rPr lang="ru-RU" baseline="0"/>
              <a:t> плотности распределения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Лист1!$U$4:$U$103</c:f>
              <c:numCache>
                <c:formatCode>General</c:formatCode>
                <c:ptCount val="100"/>
                <c:pt idx="0">
                  <c:v>-4.2308314479887486</c:v>
                </c:pt>
                <c:pt idx="1">
                  <c:v>-2.7280369724612683</c:v>
                </c:pt>
                <c:pt idx="2">
                  <c:v>-2.353725332999602</c:v>
                </c:pt>
                <c:pt idx="3">
                  <c:v>-2.2717071007937193</c:v>
                </c:pt>
                <c:pt idx="4">
                  <c:v>-2.1059789762366563</c:v>
                </c:pt>
                <c:pt idx="5">
                  <c:v>-1.7850546757690609</c:v>
                </c:pt>
                <c:pt idx="6">
                  <c:v>-1.548804332036525</c:v>
                </c:pt>
                <c:pt idx="7">
                  <c:v>-1.3536540538771078</c:v>
                </c:pt>
                <c:pt idx="8">
                  <c:v>-1.2340418581734411</c:v>
                </c:pt>
                <c:pt idx="9">
                  <c:v>-1.1825371732120402</c:v>
                </c:pt>
                <c:pt idx="10">
                  <c:v>-1.0942025003023446</c:v>
                </c:pt>
                <c:pt idx="11">
                  <c:v>-1.0396601030370221</c:v>
                </c:pt>
                <c:pt idx="12">
                  <c:v>-0.91446360986446962</c:v>
                </c:pt>
                <c:pt idx="13">
                  <c:v>-0.79040853254264221</c:v>
                </c:pt>
                <c:pt idx="14">
                  <c:v>-0.69294253282714635</c:v>
                </c:pt>
                <c:pt idx="15">
                  <c:v>-0.67614416568540037</c:v>
                </c:pt>
                <c:pt idx="16">
                  <c:v>-0.63990080181974918</c:v>
                </c:pt>
                <c:pt idx="17">
                  <c:v>-0.60503304869052954</c:v>
                </c:pt>
                <c:pt idx="18">
                  <c:v>-0.56585883814841509</c:v>
                </c:pt>
                <c:pt idx="19">
                  <c:v>-0.39715211844304577</c:v>
                </c:pt>
                <c:pt idx="20">
                  <c:v>-0.381959009449929</c:v>
                </c:pt>
                <c:pt idx="21">
                  <c:v>-0.37982397063751705</c:v>
                </c:pt>
                <c:pt idx="22">
                  <c:v>-0.19038759294198826</c:v>
                </c:pt>
                <c:pt idx="23">
                  <c:v>-0.14953991214861162</c:v>
                </c:pt>
                <c:pt idx="24">
                  <c:v>-0.1016800272045657</c:v>
                </c:pt>
                <c:pt idx="25">
                  <c:v>7.2369973873719573E-2</c:v>
                </c:pt>
                <c:pt idx="26">
                  <c:v>0.12386101641459391</c:v>
                </c:pt>
                <c:pt idx="27">
                  <c:v>0.14754425844876096</c:v>
                </c:pt>
                <c:pt idx="28">
                  <c:v>0.22334836810478009</c:v>
                </c:pt>
                <c:pt idx="29">
                  <c:v>0.35263303996180184</c:v>
                </c:pt>
                <c:pt idx="30">
                  <c:v>0.38286919132224284</c:v>
                </c:pt>
                <c:pt idx="31">
                  <c:v>0.40529505693120882</c:v>
                </c:pt>
                <c:pt idx="32">
                  <c:v>0.43609054753324017</c:v>
                </c:pt>
                <c:pt idx="33">
                  <c:v>0.45643821774865501</c:v>
                </c:pt>
                <c:pt idx="34">
                  <c:v>0.53037786326603964</c:v>
                </c:pt>
                <c:pt idx="35">
                  <c:v>0.54012309899553657</c:v>
                </c:pt>
                <c:pt idx="36">
                  <c:v>0.58040689307381399</c:v>
                </c:pt>
                <c:pt idx="37">
                  <c:v>0.60134118737187237</c:v>
                </c:pt>
                <c:pt idx="38">
                  <c:v>0.66730911182821728</c:v>
                </c:pt>
                <c:pt idx="39">
                  <c:v>0.70804310578387231</c:v>
                </c:pt>
                <c:pt idx="40">
                  <c:v>0.7373924998100847</c:v>
                </c:pt>
                <c:pt idx="41">
                  <c:v>0.84309397405013442</c:v>
                </c:pt>
                <c:pt idx="42">
                  <c:v>0.84723672241671011</c:v>
                </c:pt>
                <c:pt idx="43">
                  <c:v>0.91146296451915987</c:v>
                </c:pt>
                <c:pt idx="44">
                  <c:v>0.97651457306346856</c:v>
                </c:pt>
                <c:pt idx="45">
                  <c:v>0.99411102180602029</c:v>
                </c:pt>
                <c:pt idx="46">
                  <c:v>1.0166005520441104</c:v>
                </c:pt>
                <c:pt idx="47">
                  <c:v>1.1971488927665632</c:v>
                </c:pt>
                <c:pt idx="48">
                  <c:v>1.2488786776666529</c:v>
                </c:pt>
                <c:pt idx="49">
                  <c:v>1.2504202711861581</c:v>
                </c:pt>
                <c:pt idx="50">
                  <c:v>1.3392074177099857</c:v>
                </c:pt>
                <c:pt idx="51">
                  <c:v>1.4286675903131254</c:v>
                </c:pt>
                <c:pt idx="52">
                  <c:v>1.545308012078749</c:v>
                </c:pt>
                <c:pt idx="53">
                  <c:v>1.5530932867259253</c:v>
                </c:pt>
                <c:pt idx="54">
                  <c:v>1.5626361598842777</c:v>
                </c:pt>
                <c:pt idx="55">
                  <c:v>1.5824017534905579</c:v>
                </c:pt>
                <c:pt idx="56">
                  <c:v>1.7745074981357902</c:v>
                </c:pt>
                <c:pt idx="57">
                  <c:v>1.8712572707736399</c:v>
                </c:pt>
                <c:pt idx="58">
                  <c:v>1.8892948244465515</c:v>
                </c:pt>
                <c:pt idx="59">
                  <c:v>1.9048585525306407</c:v>
                </c:pt>
                <c:pt idx="60">
                  <c:v>1.9097766451304778</c:v>
                </c:pt>
                <c:pt idx="61">
                  <c:v>1.9651057553128339</c:v>
                </c:pt>
                <c:pt idx="62">
                  <c:v>1.9702625902718864</c:v>
                </c:pt>
                <c:pt idx="63">
                  <c:v>2.1634642760327552</c:v>
                </c:pt>
                <c:pt idx="64">
                  <c:v>2.167634309240384</c:v>
                </c:pt>
                <c:pt idx="65">
                  <c:v>2.2050304576405324</c:v>
                </c:pt>
                <c:pt idx="66">
                  <c:v>2.2178998076706193</c:v>
                </c:pt>
                <c:pt idx="67">
                  <c:v>2.3410681276582181</c:v>
                </c:pt>
                <c:pt idx="68">
                  <c:v>2.3771068552159704</c:v>
                </c:pt>
                <c:pt idx="69">
                  <c:v>2.4679426385555416</c:v>
                </c:pt>
                <c:pt idx="70">
                  <c:v>2.4922898117220029</c:v>
                </c:pt>
                <c:pt idx="71">
                  <c:v>2.5046452972455882</c:v>
                </c:pt>
                <c:pt idx="72">
                  <c:v>2.5099294614628889</c:v>
                </c:pt>
                <c:pt idx="73">
                  <c:v>2.5453633750439622</c:v>
                </c:pt>
                <c:pt idx="74">
                  <c:v>2.5662772057112306</c:v>
                </c:pt>
                <c:pt idx="75">
                  <c:v>2.6411877368227579</c:v>
                </c:pt>
                <c:pt idx="76">
                  <c:v>2.7633919924264774</c:v>
                </c:pt>
                <c:pt idx="77">
                  <c:v>2.8200717022409663</c:v>
                </c:pt>
                <c:pt idx="78">
                  <c:v>2.8216906028101221</c:v>
                </c:pt>
                <c:pt idx="79">
                  <c:v>2.8468517737346701</c:v>
                </c:pt>
                <c:pt idx="80">
                  <c:v>3.0507559383986518</c:v>
                </c:pt>
                <c:pt idx="81">
                  <c:v>3.1408322936622426</c:v>
                </c:pt>
                <c:pt idx="82">
                  <c:v>3.2071208150009625</c:v>
                </c:pt>
                <c:pt idx="83">
                  <c:v>3.2735957827535458</c:v>
                </c:pt>
                <c:pt idx="84">
                  <c:v>3.3628490453120321</c:v>
                </c:pt>
                <c:pt idx="85">
                  <c:v>3.3832672013668343</c:v>
                </c:pt>
                <c:pt idx="86">
                  <c:v>3.4635983209009282</c:v>
                </c:pt>
                <c:pt idx="87">
                  <c:v>3.4711334845051169</c:v>
                </c:pt>
                <c:pt idx="88">
                  <c:v>3.5446752260904759</c:v>
                </c:pt>
                <c:pt idx="89">
                  <c:v>3.581191438366659</c:v>
                </c:pt>
                <c:pt idx="90">
                  <c:v>3.5871850084513426</c:v>
                </c:pt>
                <c:pt idx="91">
                  <c:v>3.6532234187470749</c:v>
                </c:pt>
                <c:pt idx="92">
                  <c:v>3.7011992642655969</c:v>
                </c:pt>
                <c:pt idx="93">
                  <c:v>3.7738042263081297</c:v>
                </c:pt>
                <c:pt idx="94">
                  <c:v>4.0706905818078667</c:v>
                </c:pt>
                <c:pt idx="95">
                  <c:v>4.08569724438712</c:v>
                </c:pt>
                <c:pt idx="96">
                  <c:v>4.1688068702351302</c:v>
                </c:pt>
                <c:pt idx="97">
                  <c:v>4.4587355912663043</c:v>
                </c:pt>
                <c:pt idx="98">
                  <c:v>4.9914993976708502</c:v>
                </c:pt>
                <c:pt idx="99">
                  <c:v>6.9761805459856987</c:v>
                </c:pt>
              </c:numCache>
            </c:numRef>
          </c:xVal>
          <c:yVal>
            <c:numRef>
              <c:f>Лист1!$W$4:$W$103</c:f>
              <c:numCache>
                <c:formatCode>General</c:formatCode>
                <c:ptCount val="100"/>
                <c:pt idx="0">
                  <c:v>6.5238837159571229E-3</c:v>
                </c:pt>
                <c:pt idx="1">
                  <c:v>3.5106528373098848E-2</c:v>
                </c:pt>
                <c:pt idx="2">
                  <c:v>4.8897944658164945E-2</c:v>
                </c:pt>
                <c:pt idx="3">
                  <c:v>5.233477929004117E-2</c:v>
                </c:pt>
                <c:pt idx="4">
                  <c:v>5.972683340064943E-2</c:v>
                </c:pt>
                <c:pt idx="5">
                  <c:v>7.5648935733424613E-2</c:v>
                </c:pt>
                <c:pt idx="6">
                  <c:v>8.8554583520872671E-2</c:v>
                </c:pt>
                <c:pt idx="7">
                  <c:v>9.9804037613784341E-2</c:v>
                </c:pt>
                <c:pt idx="8">
                  <c:v>0.10689015166876403</c:v>
                </c:pt>
                <c:pt idx="9">
                  <c:v>0.10997312317454729</c:v>
                </c:pt>
                <c:pt idx="10">
                  <c:v>0.11529096359076603</c:v>
                </c:pt>
                <c:pt idx="11">
                  <c:v>0.1185865291884011</c:v>
                </c:pt>
                <c:pt idx="12">
                  <c:v>0.12615650016523974</c:v>
                </c:pt>
                <c:pt idx="13">
                  <c:v>0.13361656274253395</c:v>
                </c:pt>
                <c:pt idx="14">
                  <c:v>0.13940909816250208</c:v>
                </c:pt>
                <c:pt idx="15">
                  <c:v>0.14039882985591054</c:v>
                </c:pt>
                <c:pt idx="16">
                  <c:v>0.14252397558012286</c:v>
                </c:pt>
                <c:pt idx="17">
                  <c:v>0.14455400565620208</c:v>
                </c:pt>
                <c:pt idx="18">
                  <c:v>0.14681603311064254</c:v>
                </c:pt>
                <c:pt idx="19">
                  <c:v>0.15628250671565808</c:v>
                </c:pt>
                <c:pt idx="20">
                  <c:v>0.15710953342846035</c:v>
                </c:pt>
                <c:pt idx="21">
                  <c:v>0.157225375932455</c:v>
                </c:pt>
                <c:pt idx="22">
                  <c:v>0.16709152856848286</c:v>
                </c:pt>
                <c:pt idx="23">
                  <c:v>0.16909984072650217</c:v>
                </c:pt>
                <c:pt idx="24">
                  <c:v>0.17139266402465803</c:v>
                </c:pt>
                <c:pt idx="25">
                  <c:v>0.17912920875213792</c:v>
                </c:pt>
                <c:pt idx="26">
                  <c:v>0.18122097181367466</c:v>
                </c:pt>
                <c:pt idx="27">
                  <c:v>0.18215071819154102</c:v>
                </c:pt>
                <c:pt idx="28">
                  <c:v>0.18498432570164589</c:v>
                </c:pt>
                <c:pt idx="29">
                  <c:v>0.18929072630348026</c:v>
                </c:pt>
                <c:pt idx="30">
                  <c:v>0.19019754847642104</c:v>
                </c:pt>
                <c:pt idx="31">
                  <c:v>0.19084475930470851</c:v>
                </c:pt>
                <c:pt idx="32">
                  <c:v>0.19169783022578055</c:v>
                </c:pt>
                <c:pt idx="33">
                  <c:v>0.19223856731727879</c:v>
                </c:pt>
                <c:pt idx="34">
                  <c:v>0.19404720346639942</c:v>
                </c:pt>
                <c:pt idx="35">
                  <c:v>0.19426704238942769</c:v>
                </c:pt>
                <c:pt idx="36">
                  <c:v>0.19512927122751789</c:v>
                </c:pt>
                <c:pt idx="37">
                  <c:v>0.19554752785399576</c:v>
                </c:pt>
                <c:pt idx="38">
                  <c:v>0.19673037999326964</c:v>
                </c:pt>
                <c:pt idx="39">
                  <c:v>0.19735708688653092</c:v>
                </c:pt>
                <c:pt idx="40">
                  <c:v>0.19775902179319776</c:v>
                </c:pt>
                <c:pt idx="41">
                  <c:v>0.19885822379899709</c:v>
                </c:pt>
                <c:pt idx="42">
                  <c:v>0.19889011531051165</c:v>
                </c:pt>
                <c:pt idx="43">
                  <c:v>0.19927578396375289</c:v>
                </c:pt>
                <c:pt idx="44">
                  <c:v>0.19945738800542692</c:v>
                </c:pt>
                <c:pt idx="45">
                  <c:v>0.19947027549359783</c:v>
                </c:pt>
                <c:pt idx="46">
                  <c:v>0.19946426907864598</c:v>
                </c:pt>
                <c:pt idx="47">
                  <c:v>0.19850436791160853</c:v>
                </c:pt>
                <c:pt idx="48">
                  <c:v>0.19793268352546822</c:v>
                </c:pt>
                <c:pt idx="49">
                  <c:v>0.197913640446824</c:v>
                </c:pt>
                <c:pt idx="50">
                  <c:v>0.19662273780510695</c:v>
                </c:pt>
                <c:pt idx="51">
                  <c:v>0.19494160990603429</c:v>
                </c:pt>
                <c:pt idx="52">
                  <c:v>0.19219288203876247</c:v>
                </c:pt>
                <c:pt idx="53">
                  <c:v>0.19198755308418855</c:v>
                </c:pt>
                <c:pt idx="54">
                  <c:v>0.19173220525970872</c:v>
                </c:pt>
                <c:pt idx="55">
                  <c:v>0.1911905529059513</c:v>
                </c:pt>
                <c:pt idx="56">
                  <c:v>0.18506124644123334</c:v>
                </c:pt>
                <c:pt idx="57">
                  <c:v>0.18141430822659413</c:v>
                </c:pt>
                <c:pt idx="58">
                  <c:v>0.18069561031199766</c:v>
                </c:pt>
                <c:pt idx="59">
                  <c:v>0.18006599817331254</c:v>
                </c:pt>
                <c:pt idx="60">
                  <c:v>0.17986523431296891</c:v>
                </c:pt>
                <c:pt idx="61">
                  <c:v>0.17754798765281113</c:v>
                </c:pt>
                <c:pt idx="62">
                  <c:v>0.17732662632050644</c:v>
                </c:pt>
                <c:pt idx="63">
                  <c:v>0.16842043206776874</c:v>
                </c:pt>
                <c:pt idx="64">
                  <c:v>0.16821590955650126</c:v>
                </c:pt>
                <c:pt idx="65">
                  <c:v>0.16636052401197396</c:v>
                </c:pt>
                <c:pt idx="66">
                  <c:v>0.16571336392813665</c:v>
                </c:pt>
                <c:pt idx="67">
                  <c:v>0.15931153101710083</c:v>
                </c:pt>
                <c:pt idx="68">
                  <c:v>0.15737266481116638</c:v>
                </c:pt>
                <c:pt idx="69">
                  <c:v>0.15237012844416709</c:v>
                </c:pt>
                <c:pt idx="70">
                  <c:v>0.15100356637996187</c:v>
                </c:pt>
                <c:pt idx="71">
                  <c:v>0.15030625030182768</c:v>
                </c:pt>
                <c:pt idx="72">
                  <c:v>0.15000725999524542</c:v>
                </c:pt>
                <c:pt idx="73">
                  <c:v>0.14799094213513947</c:v>
                </c:pt>
                <c:pt idx="74">
                  <c:v>0.14679198690520651</c:v>
                </c:pt>
                <c:pt idx="75">
                  <c:v>0.1424487686442209</c:v>
                </c:pt>
                <c:pt idx="76">
                  <c:v>0.13522981309374577</c:v>
                </c:pt>
                <c:pt idx="77">
                  <c:v>0.13183971969449171</c:v>
                </c:pt>
                <c:pt idx="78">
                  <c:v>0.13174259536405117</c:v>
                </c:pt>
                <c:pt idx="79">
                  <c:v>0.13023127143773033</c:v>
                </c:pt>
                <c:pt idx="80">
                  <c:v>0.11791565436450761</c:v>
                </c:pt>
                <c:pt idx="81">
                  <c:v>0.11247986203850233</c:v>
                </c:pt>
                <c:pt idx="82">
                  <c:v>0.10849963172294745</c:v>
                </c:pt>
                <c:pt idx="83">
                  <c:v>0.10453425767237862</c:v>
                </c:pt>
                <c:pt idx="84">
                  <c:v>9.9264461211091684E-2</c:v>
                </c:pt>
                <c:pt idx="85">
                  <c:v>9.8069287688247964E-2</c:v>
                </c:pt>
                <c:pt idx="86">
                  <c:v>9.3410614031674929E-2</c:v>
                </c:pt>
                <c:pt idx="87">
                  <c:v>9.2977448819521274E-2</c:v>
                </c:pt>
                <c:pt idx="88">
                  <c:v>8.8787694454494803E-2</c:v>
                </c:pt>
                <c:pt idx="89">
                  <c:v>8.6734429009500152E-2</c:v>
                </c:pt>
                <c:pt idx="90">
                  <c:v>8.6399231554308065E-2</c:v>
                </c:pt>
                <c:pt idx="91">
                  <c:v>8.2741414076807199E-2</c:v>
                </c:pt>
                <c:pt idx="92">
                  <c:v>8.0126760110628983E-2</c:v>
                </c:pt>
                <c:pt idx="93">
                  <c:v>7.6242635672723658E-2</c:v>
                </c:pt>
                <c:pt idx="94">
                  <c:v>6.1376497442595282E-2</c:v>
                </c:pt>
                <c:pt idx="95">
                  <c:v>6.0671776914482438E-2</c:v>
                </c:pt>
                <c:pt idx="96">
                  <c:v>5.685490195560778E-2</c:v>
                </c:pt>
                <c:pt idx="97">
                  <c:v>4.4715181683354074E-2</c:v>
                </c:pt>
                <c:pt idx="98">
                  <c:v>2.7225693326059171E-2</c:v>
                </c:pt>
                <c:pt idx="99">
                  <c:v>2.2963658898238187E-3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5095920"/>
        <c:axId val="725095376"/>
      </c:scatterChart>
      <c:valAx>
        <c:axId val="725095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5095376"/>
        <c:crosses val="autoZero"/>
        <c:crossBetween val="midCat"/>
      </c:valAx>
      <c:valAx>
        <c:axId val="72509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5095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интегральный</a:t>
            </a:r>
            <a:r>
              <a:rPr lang="ru-RU" baseline="0"/>
              <a:t> массив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Лист1!$AF$4:$AF$19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Лист1!$AG$4:$AG$19</c:f>
              <c:numCache>
                <c:formatCode>General</c:formatCode>
                <c:ptCount val="16"/>
                <c:pt idx="0">
                  <c:v>1.3363461010158065E-2</c:v>
                </c:pt>
                <c:pt idx="1">
                  <c:v>8.0180766060948386E-2</c:v>
                </c:pt>
                <c:pt idx="2">
                  <c:v>0.23608781117945918</c:v>
                </c:pt>
                <c:pt idx="3">
                  <c:v>0.46128687635064114</c:v>
                </c:pt>
                <c:pt idx="4">
                  <c:v>0.68648594152182341</c:v>
                </c:pt>
                <c:pt idx="5">
                  <c:v>0.85163192264735699</c:v>
                </c:pt>
                <c:pt idx="6">
                  <c:v>0.94337968993932009</c:v>
                </c:pt>
                <c:pt idx="7">
                  <c:v>0.9827001616358757</c:v>
                </c:pt>
                <c:pt idx="8">
                  <c:v>0.99580698553472757</c:v>
                </c:pt>
                <c:pt idx="9">
                  <c:v>0.99920505098998547</c:v>
                </c:pt>
                <c:pt idx="10">
                  <c:v>0.99988466408103704</c:v>
                </c:pt>
                <c:pt idx="11">
                  <c:v>0.9999876357614994</c:v>
                </c:pt>
                <c:pt idx="12">
                  <c:v>0.99999907705932856</c:v>
                </c:pt>
                <c:pt idx="13">
                  <c:v>0.99999995715916157</c:v>
                </c:pt>
                <c:pt idx="14">
                  <c:v>0.99999999906867743</c:v>
                </c:pt>
                <c:pt idx="15">
                  <c:v>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0727168"/>
        <c:axId val="880726080"/>
      </c:scatterChart>
      <c:valAx>
        <c:axId val="880727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80726080"/>
        <c:crosses val="autoZero"/>
        <c:crossBetween val="midCat"/>
      </c:valAx>
      <c:valAx>
        <c:axId val="880726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80727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дифференциальны</a:t>
            </a:r>
            <a:r>
              <a:rPr lang="ru-RU" baseline="0"/>
              <a:t>й массив</a:t>
            </a:r>
            <a:endParaRPr lang="ru-RU"/>
          </a:p>
        </c:rich>
      </c:tx>
      <c:layout>
        <c:manualLayout>
          <c:xMode val="edge"/>
          <c:yMode val="edge"/>
          <c:x val="0.27369444444444446"/>
          <c:y val="1.38888888888888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Лист1!$AF$4:$AF$19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Лист1!$AH$4:$AH$19</c:f>
              <c:numCache>
                <c:formatCode>General</c:formatCode>
                <c:ptCount val="16"/>
                <c:pt idx="0">
                  <c:v>1.3363461010158065E-2</c:v>
                </c:pt>
                <c:pt idx="1">
                  <c:v>6.6817305050790338E-2</c:v>
                </c:pt>
                <c:pt idx="2">
                  <c:v>0.15590704511851075</c:v>
                </c:pt>
                <c:pt idx="3">
                  <c:v>0.22519906517118218</c:v>
                </c:pt>
                <c:pt idx="4">
                  <c:v>0.22519906517118218</c:v>
                </c:pt>
                <c:pt idx="5">
                  <c:v>0.16514598112553358</c:v>
                </c:pt>
                <c:pt idx="6">
                  <c:v>9.1747767291963059E-2</c:v>
                </c:pt>
                <c:pt idx="7">
                  <c:v>3.9320471696555608E-2</c:v>
                </c:pt>
                <c:pt idx="8">
                  <c:v>1.3106823898851871E-2</c:v>
                </c:pt>
                <c:pt idx="9">
                  <c:v>3.398065455257893E-3</c:v>
                </c:pt>
                <c:pt idx="10">
                  <c:v>6.7961309105157863E-4</c:v>
                </c:pt>
                <c:pt idx="11">
                  <c:v>1.0297168046236046E-4</c:v>
                </c:pt>
                <c:pt idx="12">
                  <c:v>1.1441297829151157E-5</c:v>
                </c:pt>
                <c:pt idx="13">
                  <c:v>8.8009983301163059E-7</c:v>
                </c:pt>
                <c:pt idx="14">
                  <c:v>4.1909515857696467E-8</c:v>
                </c:pt>
                <c:pt idx="15">
                  <c:v>9.3132257461547934E-10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2177248"/>
        <c:axId val="552176704"/>
      </c:scatterChart>
      <c:valAx>
        <c:axId val="552177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52176704"/>
        <c:crosses val="autoZero"/>
        <c:crossBetween val="midCat"/>
      </c:valAx>
      <c:valAx>
        <c:axId val="552176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521772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интегральный</a:t>
            </a:r>
            <a:r>
              <a:rPr lang="ru-RU" baseline="0"/>
              <a:t> массив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Лист1!$AQ$4:$AQ$24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Лист1!$AR$4:$AR$24</c:f>
              <c:numCache>
                <c:formatCode>General</c:formatCode>
                <c:ptCount val="21"/>
                <c:pt idx="0">
                  <c:v>0.36787944117144233</c:v>
                </c:pt>
                <c:pt idx="1">
                  <c:v>0.73575888234288478</c:v>
                </c:pt>
                <c:pt idx="2">
                  <c:v>0.91969860292860584</c:v>
                </c:pt>
                <c:pt idx="3">
                  <c:v>0.98101184312384615</c:v>
                </c:pt>
                <c:pt idx="4">
                  <c:v>0.99634015317265634</c:v>
                </c:pt>
                <c:pt idx="5">
                  <c:v>0.99940581518241833</c:v>
                </c:pt>
                <c:pt idx="6">
                  <c:v>0.99991675885071196</c:v>
                </c:pt>
                <c:pt idx="7">
                  <c:v>0.99998975080332531</c:v>
                </c:pt>
                <c:pt idx="8">
                  <c:v>0.99999887479740202</c:v>
                </c:pt>
                <c:pt idx="9">
                  <c:v>0.9999998885745216</c:v>
                </c:pt>
                <c:pt idx="10">
                  <c:v>0.9999999899522336</c:v>
                </c:pt>
                <c:pt idx="11">
                  <c:v>0.99999999916838922</c:v>
                </c:pt>
                <c:pt idx="12">
                  <c:v>0.99999999993640221</c:v>
                </c:pt>
                <c:pt idx="13">
                  <c:v>0.99999999999548017</c:v>
                </c:pt>
                <c:pt idx="14">
                  <c:v>0.99999999999970002</c:v>
                </c:pt>
                <c:pt idx="15">
                  <c:v>0.99999999999998135</c:v>
                </c:pt>
                <c:pt idx="16">
                  <c:v>0.99999999999999889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7272512"/>
        <c:axId val="977269792"/>
      </c:scatterChart>
      <c:valAx>
        <c:axId val="977272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77269792"/>
        <c:crosses val="autoZero"/>
        <c:crossBetween val="midCat"/>
      </c:valAx>
      <c:valAx>
        <c:axId val="9772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77272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дифференциальный</a:t>
            </a:r>
            <a:r>
              <a:rPr lang="ru-RU" baseline="0"/>
              <a:t> массив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Лист1!$AQ$4:$AQ$24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Лист1!$AS$4:$AS$24</c:f>
              <c:numCache>
                <c:formatCode>General</c:formatCode>
                <c:ptCount val="21"/>
                <c:pt idx="0">
                  <c:v>0.36787944117144233</c:v>
                </c:pt>
                <c:pt idx="1">
                  <c:v>0.36787944117144233</c:v>
                </c:pt>
                <c:pt idx="2">
                  <c:v>0.18393972058572114</c:v>
                </c:pt>
                <c:pt idx="3">
                  <c:v>6.1313240195240391E-2</c:v>
                </c:pt>
                <c:pt idx="4">
                  <c:v>1.5328310048810094E-2</c:v>
                </c:pt>
                <c:pt idx="5">
                  <c:v>3.06566200976202E-3</c:v>
                </c:pt>
                <c:pt idx="6">
                  <c:v>5.1094366829366978E-4</c:v>
                </c:pt>
                <c:pt idx="7">
                  <c:v>7.2991952613381521E-5</c:v>
                </c:pt>
                <c:pt idx="8">
                  <c:v>9.1239940766726546E-6</c:v>
                </c:pt>
                <c:pt idx="9">
                  <c:v>1.0137771196302961E-6</c:v>
                </c:pt>
                <c:pt idx="10">
                  <c:v>1.013777119630295E-7</c:v>
                </c:pt>
                <c:pt idx="11">
                  <c:v>9.2161556330026647E-9</c:v>
                </c:pt>
                <c:pt idx="12">
                  <c:v>7.680129694168931E-10</c:v>
                </c:pt>
                <c:pt idx="13">
                  <c:v>5.9077920724376414E-11</c:v>
                </c:pt>
                <c:pt idx="14">
                  <c:v>4.2198514803125853E-12</c:v>
                </c:pt>
                <c:pt idx="15">
                  <c:v>2.813234320208389E-13</c:v>
                </c:pt>
                <c:pt idx="16">
                  <c:v>1.7582714501302425E-14</c:v>
                </c:pt>
                <c:pt idx="17">
                  <c:v>1.0342773236060258E-15</c:v>
                </c:pt>
                <c:pt idx="18">
                  <c:v>5.7459851311446043E-17</c:v>
                </c:pt>
                <c:pt idx="19">
                  <c:v>3.0242027006024186E-18</c:v>
                </c:pt>
                <c:pt idx="20">
                  <c:v>1.51210135030121E-19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0728256"/>
        <c:axId val="880726624"/>
      </c:scatterChart>
      <c:valAx>
        <c:axId val="880728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80726624"/>
        <c:crosses val="autoZero"/>
        <c:crossBetween val="midCat"/>
      </c:valAx>
      <c:valAx>
        <c:axId val="880726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80728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38100</xdr:colOff>
      <xdr:row>2</xdr:row>
      <xdr:rowOff>33337</xdr:rowOff>
    </xdr:from>
    <xdr:to>
      <xdr:col>19</xdr:col>
      <xdr:colOff>342900</xdr:colOff>
      <xdr:row>16</xdr:row>
      <xdr:rowOff>109537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47625</xdr:colOff>
      <xdr:row>2</xdr:row>
      <xdr:rowOff>188117</xdr:rowOff>
    </xdr:from>
    <xdr:to>
      <xdr:col>30</xdr:col>
      <xdr:colOff>285750</xdr:colOff>
      <xdr:row>17</xdr:row>
      <xdr:rowOff>73817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47625</xdr:colOff>
      <xdr:row>17</xdr:row>
      <xdr:rowOff>69055</xdr:rowOff>
    </xdr:from>
    <xdr:to>
      <xdr:col>30</xdr:col>
      <xdr:colOff>285750</xdr:colOff>
      <xdr:row>31</xdr:row>
      <xdr:rowOff>145255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34</xdr:col>
      <xdr:colOff>13607</xdr:colOff>
      <xdr:row>3</xdr:row>
      <xdr:rowOff>9524</xdr:rowOff>
    </xdr:from>
    <xdr:to>
      <xdr:col>41</xdr:col>
      <xdr:colOff>299357</xdr:colOff>
      <xdr:row>17</xdr:row>
      <xdr:rowOff>85724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34</xdr:col>
      <xdr:colOff>13607</xdr:colOff>
      <xdr:row>17</xdr:row>
      <xdr:rowOff>91167</xdr:rowOff>
    </xdr:from>
    <xdr:to>
      <xdr:col>41</xdr:col>
      <xdr:colOff>299357</xdr:colOff>
      <xdr:row>31</xdr:row>
      <xdr:rowOff>167367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45</xdr:col>
      <xdr:colOff>13608</xdr:colOff>
      <xdr:row>3</xdr:row>
      <xdr:rowOff>9525</xdr:rowOff>
    </xdr:from>
    <xdr:to>
      <xdr:col>52</xdr:col>
      <xdr:colOff>299358</xdr:colOff>
      <xdr:row>17</xdr:row>
      <xdr:rowOff>85725</xdr:rowOff>
    </xdr:to>
    <xdr:graphicFrame macro="">
      <xdr:nvGraphicFramePr>
        <xdr:cNvPr id="7" name="Диаграмма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45</xdr:col>
      <xdr:colOff>27215</xdr:colOff>
      <xdr:row>17</xdr:row>
      <xdr:rowOff>91167</xdr:rowOff>
    </xdr:from>
    <xdr:to>
      <xdr:col>52</xdr:col>
      <xdr:colOff>312965</xdr:colOff>
      <xdr:row>31</xdr:row>
      <xdr:rowOff>167367</xdr:rowOff>
    </xdr:to>
    <xdr:graphicFrame macro="">
      <xdr:nvGraphicFramePr>
        <xdr:cNvPr id="8" name="Диаграмма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S103"/>
  <sheetViews>
    <sheetView tabSelected="1" topLeftCell="AQ1" zoomScale="70" zoomScaleNormal="70" workbookViewId="0">
      <selection activeCell="BD11" sqref="BD11"/>
    </sheetView>
  </sheetViews>
  <sheetFormatPr defaultRowHeight="15" x14ac:dyDescent="0.25"/>
  <sheetData>
    <row r="1" spans="1:71" x14ac:dyDescent="0.25">
      <c r="A1" s="1" t="s">
        <v>0</v>
      </c>
      <c r="B1" s="2"/>
      <c r="C1" s="2"/>
      <c r="D1" s="2"/>
      <c r="E1" s="2"/>
      <c r="F1" s="2"/>
      <c r="G1" s="1" t="s">
        <v>12</v>
      </c>
      <c r="H1" s="2"/>
      <c r="I1" s="2"/>
      <c r="J1" s="3"/>
      <c r="K1" s="8" t="s">
        <v>23</v>
      </c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24" t="s">
        <v>34</v>
      </c>
      <c r="BC1" s="25"/>
      <c r="BD1" s="25"/>
      <c r="BE1" s="25"/>
      <c r="BF1" s="25"/>
      <c r="BG1" s="25"/>
      <c r="BH1" s="25"/>
      <c r="BI1" s="25"/>
      <c r="BJ1" s="25"/>
      <c r="BK1" s="26"/>
      <c r="BL1" s="24" t="s">
        <v>43</v>
      </c>
      <c r="BM1" s="25"/>
      <c r="BN1" s="25"/>
      <c r="BO1" s="25"/>
      <c r="BP1" s="25"/>
      <c r="BQ1" s="25"/>
      <c r="BR1" s="25"/>
      <c r="BS1" s="26"/>
    </row>
    <row r="2" spans="1:71" x14ac:dyDescent="0.25">
      <c r="A2" s="4" t="s">
        <v>1</v>
      </c>
      <c r="B2" s="5"/>
      <c r="C2" s="6" t="s">
        <v>2</v>
      </c>
      <c r="D2" s="6">
        <v>3</v>
      </c>
      <c r="E2" s="6" t="s">
        <v>3</v>
      </c>
      <c r="F2" s="6">
        <v>9</v>
      </c>
      <c r="G2" s="12" t="s">
        <v>11</v>
      </c>
      <c r="H2" s="6" t="s">
        <v>13</v>
      </c>
      <c r="I2" s="6" t="s">
        <v>14</v>
      </c>
      <c r="J2" s="7" t="s">
        <v>15</v>
      </c>
      <c r="K2" s="15" t="s">
        <v>16</v>
      </c>
      <c r="L2" s="16" t="s">
        <v>17</v>
      </c>
      <c r="M2" s="24" t="s">
        <v>18</v>
      </c>
      <c r="N2" s="25"/>
      <c r="O2" s="25"/>
      <c r="P2" s="25"/>
      <c r="Q2" s="25"/>
      <c r="R2" s="25"/>
      <c r="S2" s="25"/>
      <c r="T2" s="26"/>
      <c r="U2" s="24" t="s">
        <v>20</v>
      </c>
      <c r="V2" s="25"/>
      <c r="W2" s="25"/>
      <c r="X2" s="25"/>
      <c r="Y2" s="25"/>
      <c r="Z2" s="25"/>
      <c r="AA2" s="25"/>
      <c r="AB2" s="25"/>
      <c r="AC2" s="25"/>
      <c r="AD2" s="25"/>
      <c r="AE2" s="26"/>
      <c r="AF2" s="24" t="s">
        <v>21</v>
      </c>
      <c r="AG2" s="25"/>
      <c r="AH2" s="25"/>
      <c r="AI2" s="25"/>
      <c r="AJ2" s="25"/>
      <c r="AK2" s="25"/>
      <c r="AL2" s="25"/>
      <c r="AM2" s="25"/>
      <c r="AN2" s="25"/>
      <c r="AO2" s="25"/>
      <c r="AP2" s="26"/>
      <c r="AQ2" s="24" t="s">
        <v>22</v>
      </c>
      <c r="AR2" s="25"/>
      <c r="AS2" s="25"/>
      <c r="AT2" s="25"/>
      <c r="AU2" s="25"/>
      <c r="AV2" s="25"/>
      <c r="AW2" s="25"/>
      <c r="AX2" s="25"/>
      <c r="AY2" s="25"/>
      <c r="AZ2" s="25"/>
      <c r="BA2" s="26"/>
      <c r="BB2" s="1" t="s">
        <v>24</v>
      </c>
      <c r="BC2" s="3"/>
      <c r="BD2" s="24" t="s">
        <v>28</v>
      </c>
      <c r="BE2" s="26"/>
      <c r="BF2" s="24" t="s">
        <v>4</v>
      </c>
      <c r="BG2" s="26"/>
      <c r="BH2" s="24" t="s">
        <v>6</v>
      </c>
      <c r="BI2" s="26"/>
      <c r="BJ2" s="24" t="s">
        <v>32</v>
      </c>
      <c r="BK2" s="26"/>
      <c r="BL2" s="24" t="s">
        <v>35</v>
      </c>
      <c r="BM2" s="25"/>
      <c r="BN2" s="25" t="s">
        <v>36</v>
      </c>
      <c r="BO2" s="26"/>
      <c r="BP2" s="19">
        <v>1</v>
      </c>
      <c r="BQ2" s="21">
        <v>0.5</v>
      </c>
      <c r="BR2" s="20"/>
      <c r="BS2" s="21"/>
    </row>
    <row r="3" spans="1:71" x14ac:dyDescent="0.25">
      <c r="A3" s="4" t="s">
        <v>4</v>
      </c>
      <c r="B3" s="5"/>
      <c r="C3" s="6" t="s">
        <v>2</v>
      </c>
      <c r="D3" s="6">
        <v>1</v>
      </c>
      <c r="E3" s="6" t="s">
        <v>5</v>
      </c>
      <c r="F3" s="6">
        <v>2</v>
      </c>
      <c r="G3" s="12">
        <v>3.0302133243812372</v>
      </c>
      <c r="H3" s="6">
        <v>-4.2308314479887486</v>
      </c>
      <c r="I3" s="6">
        <v>3</v>
      </c>
      <c r="J3" s="7">
        <v>0</v>
      </c>
      <c r="K3" s="17">
        <v>0</v>
      </c>
      <c r="L3" s="7">
        <f t="array" ref="L3:L58">plot_data_even_int(K3:K58,D2,F2)</f>
        <v>0</v>
      </c>
      <c r="M3" s="12"/>
      <c r="N3" s="6"/>
      <c r="O3" s="6"/>
      <c r="P3" s="6"/>
      <c r="Q3" s="6"/>
      <c r="R3" s="6"/>
      <c r="S3" s="6"/>
      <c r="T3" s="6"/>
      <c r="U3" s="18" t="s">
        <v>16</v>
      </c>
      <c r="V3" s="27" t="s">
        <v>17</v>
      </c>
      <c r="W3" s="28" t="s">
        <v>19</v>
      </c>
      <c r="X3" s="6"/>
      <c r="Y3" s="6"/>
      <c r="Z3" s="6"/>
      <c r="AA3" s="6"/>
      <c r="AB3" s="6"/>
      <c r="AC3" s="6"/>
      <c r="AD3" s="6"/>
      <c r="AE3" s="7"/>
      <c r="AF3" s="29" t="s">
        <v>16</v>
      </c>
      <c r="AG3" s="30" t="s">
        <v>17</v>
      </c>
      <c r="AH3" s="31" t="s">
        <v>19</v>
      </c>
      <c r="AI3" s="6"/>
      <c r="AJ3" s="6"/>
      <c r="AK3" s="6"/>
      <c r="AL3" s="6"/>
      <c r="AM3" s="6"/>
      <c r="AN3" s="6"/>
      <c r="AO3" s="6"/>
      <c r="AP3" s="6"/>
      <c r="AQ3" s="29" t="s">
        <v>16</v>
      </c>
      <c r="AR3" s="30" t="s">
        <v>17</v>
      </c>
      <c r="AS3" s="31" t="s">
        <v>19</v>
      </c>
      <c r="AT3" s="20"/>
      <c r="AU3" s="20"/>
      <c r="AV3" s="20"/>
      <c r="AW3" s="20"/>
      <c r="AX3" s="20"/>
      <c r="AY3" s="20"/>
      <c r="AZ3" s="20"/>
      <c r="BA3" s="21"/>
      <c r="BB3" s="4"/>
      <c r="BC3" s="32"/>
      <c r="BD3" s="12" t="s">
        <v>29</v>
      </c>
      <c r="BE3" s="7" t="s">
        <v>30</v>
      </c>
      <c r="BF3" s="12" t="s">
        <v>29</v>
      </c>
      <c r="BG3" s="7" t="s">
        <v>31</v>
      </c>
      <c r="BH3" s="15" t="s">
        <v>29</v>
      </c>
      <c r="BI3" s="16" t="s">
        <v>30</v>
      </c>
      <c r="BJ3" s="17" t="s">
        <v>29</v>
      </c>
      <c r="BK3" s="14" t="s">
        <v>33</v>
      </c>
      <c r="BL3" s="12"/>
      <c r="BM3" s="22" t="s">
        <v>37</v>
      </c>
      <c r="BN3" s="23" t="s">
        <v>38</v>
      </c>
      <c r="BO3" s="6"/>
      <c r="BP3" s="13">
        <v>0</v>
      </c>
      <c r="BQ3" s="11">
        <v>0.5</v>
      </c>
      <c r="BR3" s="6"/>
      <c r="BS3" s="7"/>
    </row>
    <row r="4" spans="1:71" x14ac:dyDescent="0.25">
      <c r="A4" s="4" t="s">
        <v>6</v>
      </c>
      <c r="B4" s="5"/>
      <c r="C4" s="6" t="s">
        <v>7</v>
      </c>
      <c r="D4" s="6">
        <v>0.25</v>
      </c>
      <c r="E4" s="6" t="s">
        <v>8</v>
      </c>
      <c r="F4" s="6">
        <v>15</v>
      </c>
      <c r="G4" s="12">
        <v>3.0395519882808926</v>
      </c>
      <c r="H4" s="6">
        <v>-2.7280369724612683</v>
      </c>
      <c r="I4" s="6">
        <v>6</v>
      </c>
      <c r="J4" s="7">
        <v>0</v>
      </c>
      <c r="K4" s="17">
        <v>0.2</v>
      </c>
      <c r="L4" s="7">
        <v>0</v>
      </c>
      <c r="M4" s="12"/>
      <c r="N4" s="6"/>
      <c r="O4" s="6"/>
      <c r="P4" s="6"/>
      <c r="Q4" s="6"/>
      <c r="R4" s="6"/>
      <c r="S4" s="6"/>
      <c r="T4" s="6"/>
      <c r="U4" s="12">
        <v>-4.2308314479887486</v>
      </c>
      <c r="V4" s="6">
        <f t="array" ref="V4:V103">_xlfn.NORM.DIST(U4:U103,D3,F3,1)</f>
        <v>4.4559455545012099E-3</v>
      </c>
      <c r="W4" s="7">
        <f t="array" ref="W4:W103">_xlfn.NORM.DIST(U4:U103,D3,F3,0)</f>
        <v>6.5238837159571229E-3</v>
      </c>
      <c r="X4" s="6"/>
      <c r="Y4" s="6"/>
      <c r="Z4" s="6"/>
      <c r="AA4" s="6"/>
      <c r="AB4" s="6"/>
      <c r="AC4" s="6"/>
      <c r="AD4" s="6"/>
      <c r="AE4" s="7"/>
      <c r="AF4" s="12">
        <v>0</v>
      </c>
      <c r="AG4" s="6">
        <f t="array" ref="AG4:AG19">BINOMDIST(AF4:AF19,F4,D4,1)</f>
        <v>1.3363461010158065E-2</v>
      </c>
      <c r="AH4" s="7">
        <f t="array" ref="AH4:AH19">BINOMDIST(AF4:AF19,F4,D4,0)</f>
        <v>1.3363461010158065E-2</v>
      </c>
      <c r="AI4" s="6"/>
      <c r="AJ4" s="6"/>
      <c r="AK4" s="6"/>
      <c r="AL4" s="6"/>
      <c r="AM4" s="6"/>
      <c r="AN4" s="6"/>
      <c r="AO4" s="6"/>
      <c r="AP4" s="6"/>
      <c r="AQ4" s="19">
        <v>0</v>
      </c>
      <c r="AR4" s="20">
        <f t="array" ref="AR4:AR24">POISSON(AQ4:AQ24,D5,1)</f>
        <v>0.36787944117144233</v>
      </c>
      <c r="AS4" s="21">
        <f t="array" ref="AS4:AS24">POISSON(AQ4:AQ24,D5,0)</f>
        <v>0.36787944117144233</v>
      </c>
      <c r="AT4" s="6"/>
      <c r="AU4" s="6"/>
      <c r="AV4" s="6"/>
      <c r="AW4" s="6"/>
      <c r="AX4" s="6"/>
      <c r="AY4" s="6"/>
      <c r="AZ4" s="6"/>
      <c r="BA4" s="7"/>
      <c r="BB4" s="4" t="s">
        <v>25</v>
      </c>
      <c r="BC4" s="32"/>
      <c r="BD4" s="12">
        <v>6</v>
      </c>
      <c r="BE4" s="7">
        <f>AVERAGE(G3:G102)</f>
        <v>5.9347611926633501</v>
      </c>
      <c r="BF4" s="12">
        <f>1</f>
        <v>1</v>
      </c>
      <c r="BG4" s="7">
        <f>AVERAGE(H3:H102)</f>
        <v>1.2853164687621756</v>
      </c>
      <c r="BH4" s="12">
        <f>0.25*15</f>
        <v>3.75</v>
      </c>
      <c r="BI4" s="7">
        <f>AVERAGE(I3:I102)</f>
        <v>3.66</v>
      </c>
      <c r="BJ4" s="12">
        <f>D5</f>
        <v>1</v>
      </c>
      <c r="BK4" s="6">
        <f>AVERAGE(J3:J102)</f>
        <v>0.96</v>
      </c>
      <c r="BL4" s="12"/>
      <c r="BM4" s="12">
        <v>1</v>
      </c>
      <c r="BN4" s="7">
        <v>1</v>
      </c>
      <c r="BO4" s="6"/>
      <c r="BP4" s="6"/>
      <c r="BQ4" s="6"/>
      <c r="BR4" s="6"/>
      <c r="BS4" s="7"/>
    </row>
    <row r="5" spans="1:71" x14ac:dyDescent="0.25">
      <c r="A5" s="8" t="s">
        <v>9</v>
      </c>
      <c r="B5" s="9"/>
      <c r="C5" s="10" t="s">
        <v>10</v>
      </c>
      <c r="D5" s="10">
        <v>1</v>
      </c>
      <c r="E5" s="10"/>
      <c r="F5" s="10"/>
      <c r="G5" s="12">
        <v>3.1391644032105472</v>
      </c>
      <c r="H5" s="6">
        <v>-2.353725332999602</v>
      </c>
      <c r="I5" s="6">
        <v>6</v>
      </c>
      <c r="J5" s="7">
        <v>0</v>
      </c>
      <c r="K5" s="17">
        <v>0.4</v>
      </c>
      <c r="L5" s="7">
        <v>0</v>
      </c>
      <c r="M5" s="12"/>
      <c r="N5" s="6"/>
      <c r="O5" s="6"/>
      <c r="P5" s="6"/>
      <c r="Q5" s="6"/>
      <c r="R5" s="6"/>
      <c r="S5" s="6"/>
      <c r="T5" s="6"/>
      <c r="U5" s="12">
        <v>-2.7280369724612683</v>
      </c>
      <c r="V5" s="6">
        <v>3.1159554171577872E-2</v>
      </c>
      <c r="W5" s="7">
        <v>3.5106528373098848E-2</v>
      </c>
      <c r="X5" s="6"/>
      <c r="Y5" s="6"/>
      <c r="Z5" s="6"/>
      <c r="AA5" s="6"/>
      <c r="AB5" s="6"/>
      <c r="AC5" s="6"/>
      <c r="AD5" s="6"/>
      <c r="AE5" s="7"/>
      <c r="AF5" s="12">
        <v>1</v>
      </c>
      <c r="AG5" s="6">
        <v>8.0180766060948386E-2</v>
      </c>
      <c r="AH5" s="7">
        <v>6.6817305050790338E-2</v>
      </c>
      <c r="AI5" s="6"/>
      <c r="AJ5" s="6"/>
      <c r="AK5" s="6"/>
      <c r="AL5" s="6"/>
      <c r="AM5" s="6"/>
      <c r="AN5" s="6"/>
      <c r="AO5" s="6"/>
      <c r="AP5" s="6"/>
      <c r="AQ5" s="12">
        <v>1</v>
      </c>
      <c r="AR5" s="6">
        <v>0.73575888234288478</v>
      </c>
      <c r="AS5" s="7">
        <v>0.36787944117144233</v>
      </c>
      <c r="AT5" s="6"/>
      <c r="AU5" s="6"/>
      <c r="AV5" s="6"/>
      <c r="AW5" s="6"/>
      <c r="AX5" s="6"/>
      <c r="AY5" s="6"/>
      <c r="AZ5" s="6"/>
      <c r="BA5" s="7"/>
      <c r="BB5" s="4" t="s">
        <v>26</v>
      </c>
      <c r="BC5" s="32"/>
      <c r="BD5" s="12">
        <f>even_dispersion(3,9)</f>
        <v>3</v>
      </c>
      <c r="BE5" s="7">
        <f>_xlfn.VAR.S(G3:G102)</f>
        <v>2.5770305228579216</v>
      </c>
      <c r="BF5" s="12">
        <f>4</f>
        <v>4</v>
      </c>
      <c r="BG5" s="7">
        <f>_xlfn.VAR.S(H3:H102)</f>
        <v>3.6534064520482787</v>
      </c>
      <c r="BH5" s="12">
        <f>0.25*0.75*15</f>
        <v>2.8125</v>
      </c>
      <c r="BI5" s="7">
        <f>_xlfn.VAR.S(I3:I102)</f>
        <v>2.9741414141414149</v>
      </c>
      <c r="BJ5" s="12">
        <v>1</v>
      </c>
      <c r="BK5" s="6">
        <f>_xlfn.VAR.S(J3:J102)</f>
        <v>1.1094949494949495</v>
      </c>
      <c r="BL5" s="12"/>
      <c r="BM5" s="12">
        <v>1</v>
      </c>
      <c r="BN5" s="7">
        <v>0</v>
      </c>
      <c r="BO5" s="1" t="s">
        <v>39</v>
      </c>
      <c r="BP5" s="2"/>
      <c r="BQ5" s="2"/>
      <c r="BR5" s="2"/>
      <c r="BS5" s="21">
        <f>COUNTIF(BM4:BM103,"=1")</f>
        <v>48</v>
      </c>
    </row>
    <row r="6" spans="1:71" x14ac:dyDescent="0.25">
      <c r="G6" s="12">
        <v>3.3336283455916011</v>
      </c>
      <c r="H6" s="6">
        <v>-2.2717071007937193</v>
      </c>
      <c r="I6" s="6">
        <v>1</v>
      </c>
      <c r="J6" s="7">
        <v>0</v>
      </c>
      <c r="K6" s="17">
        <v>0.6</v>
      </c>
      <c r="L6" s="7">
        <v>0</v>
      </c>
      <c r="M6" s="12"/>
      <c r="N6" s="6"/>
      <c r="O6" s="6"/>
      <c r="P6" s="6"/>
      <c r="Q6" s="6"/>
      <c r="R6" s="6"/>
      <c r="S6" s="6"/>
      <c r="T6" s="6"/>
      <c r="U6" s="12">
        <v>-2.353725332999602</v>
      </c>
      <c r="V6" s="6">
        <v>4.6784670028756775E-2</v>
      </c>
      <c r="W6" s="7">
        <v>4.8897944658164945E-2</v>
      </c>
      <c r="X6" s="6"/>
      <c r="Y6" s="6"/>
      <c r="Z6" s="6"/>
      <c r="AA6" s="6"/>
      <c r="AB6" s="6"/>
      <c r="AC6" s="6"/>
      <c r="AD6" s="6"/>
      <c r="AE6" s="7"/>
      <c r="AF6" s="12">
        <v>2</v>
      </c>
      <c r="AG6" s="6">
        <v>0.23608781117945918</v>
      </c>
      <c r="AH6" s="7">
        <v>0.15590704511851075</v>
      </c>
      <c r="AI6" s="6"/>
      <c r="AJ6" s="6"/>
      <c r="AK6" s="6"/>
      <c r="AL6" s="6"/>
      <c r="AM6" s="6"/>
      <c r="AN6" s="6"/>
      <c r="AO6" s="6"/>
      <c r="AP6" s="6"/>
      <c r="AQ6" s="12">
        <v>2</v>
      </c>
      <c r="AR6" s="6">
        <v>0.91969860292860584</v>
      </c>
      <c r="AS6" s="7">
        <v>0.18393972058572114</v>
      </c>
      <c r="AT6" s="6"/>
      <c r="AU6" s="6"/>
      <c r="AV6" s="6"/>
      <c r="AW6" s="6"/>
      <c r="AX6" s="6"/>
      <c r="AY6" s="6"/>
      <c r="AZ6" s="6"/>
      <c r="BA6" s="7"/>
      <c r="BB6" s="8" t="s">
        <v>27</v>
      </c>
      <c r="BC6" s="33"/>
      <c r="BD6" s="13">
        <f>BD4</f>
        <v>6</v>
      </c>
      <c r="BE6" s="11">
        <f>MEDIAN(G3:G102)</f>
        <v>5.8582720419934695</v>
      </c>
      <c r="BF6" s="13">
        <v>1</v>
      </c>
      <c r="BG6" s="11"/>
      <c r="BH6" s="13">
        <f>0.25*15</f>
        <v>3.75</v>
      </c>
      <c r="BI6" s="11">
        <f>MEDIAN(I3:I102)</f>
        <v>4</v>
      </c>
      <c r="BJ6" s="13">
        <f>poisson_median(D5)</f>
        <v>1.3133333333333332</v>
      </c>
      <c r="BK6" s="10">
        <f>MEDIAN(J3:J102)</f>
        <v>1</v>
      </c>
      <c r="BL6" s="12"/>
      <c r="BM6" s="12">
        <v>1</v>
      </c>
      <c r="BN6" s="7">
        <v>0</v>
      </c>
      <c r="BO6" s="4" t="s">
        <v>40</v>
      </c>
      <c r="BP6" s="5"/>
      <c r="BQ6" s="5"/>
      <c r="BR6" s="5"/>
      <c r="BS6" s="7">
        <f>100-BS5</f>
        <v>52</v>
      </c>
    </row>
    <row r="7" spans="1:71" x14ac:dyDescent="0.25">
      <c r="G7" s="12">
        <v>3.544022949919126</v>
      </c>
      <c r="H7" s="6">
        <v>-2.1059789762366563</v>
      </c>
      <c r="I7" s="6">
        <v>2</v>
      </c>
      <c r="J7" s="7">
        <v>1</v>
      </c>
      <c r="K7" s="17">
        <v>0.8</v>
      </c>
      <c r="L7" s="7">
        <v>0</v>
      </c>
      <c r="M7" s="12"/>
      <c r="N7" s="6"/>
      <c r="O7" s="6"/>
      <c r="P7" s="6"/>
      <c r="Q7" s="6"/>
      <c r="R7" s="6"/>
      <c r="S7" s="6"/>
      <c r="T7" s="6"/>
      <c r="U7" s="12">
        <v>-2.2717071007937193</v>
      </c>
      <c r="V7" s="6">
        <v>5.0935120677292021E-2</v>
      </c>
      <c r="W7" s="7">
        <v>5.233477929004117E-2</v>
      </c>
      <c r="X7" s="6"/>
      <c r="Y7" s="6"/>
      <c r="Z7" s="6"/>
      <c r="AA7" s="6"/>
      <c r="AB7" s="6"/>
      <c r="AC7" s="6"/>
      <c r="AD7" s="6"/>
      <c r="AE7" s="7"/>
      <c r="AF7" s="12">
        <v>3</v>
      </c>
      <c r="AG7" s="6">
        <v>0.46128687635064114</v>
      </c>
      <c r="AH7" s="7">
        <v>0.22519906517118218</v>
      </c>
      <c r="AI7" s="6"/>
      <c r="AJ7" s="6"/>
      <c r="AK7" s="6"/>
      <c r="AL7" s="6"/>
      <c r="AM7" s="6"/>
      <c r="AN7" s="6"/>
      <c r="AO7" s="6"/>
      <c r="AP7" s="6"/>
      <c r="AQ7" s="12">
        <v>3</v>
      </c>
      <c r="AR7" s="6">
        <v>0.98101184312384615</v>
      </c>
      <c r="AS7" s="7">
        <v>6.1313240195240391E-2</v>
      </c>
      <c r="AT7" s="6"/>
      <c r="AU7" s="6"/>
      <c r="AV7" s="6"/>
      <c r="AW7" s="6"/>
      <c r="AX7" s="6"/>
      <c r="AY7" s="6"/>
      <c r="AZ7" s="6"/>
      <c r="BA7" s="7"/>
      <c r="BL7" s="12"/>
      <c r="BM7" s="12">
        <v>1</v>
      </c>
      <c r="BN7" s="7">
        <v>1</v>
      </c>
      <c r="BO7" s="4" t="s">
        <v>41</v>
      </c>
      <c r="BP7" s="5"/>
      <c r="BQ7" s="5"/>
      <c r="BR7" s="5"/>
      <c r="BS7" s="7">
        <f>COUNTIF(BN4:BN103,"=1")</f>
        <v>56</v>
      </c>
    </row>
    <row r="8" spans="1:71" x14ac:dyDescent="0.25">
      <c r="G8" s="12">
        <v>3.5855891598254344</v>
      </c>
      <c r="H8" s="6">
        <v>-1.7850546757690609</v>
      </c>
      <c r="I8" s="6">
        <v>6</v>
      </c>
      <c r="J8" s="7">
        <v>1</v>
      </c>
      <c r="K8" s="17">
        <v>1</v>
      </c>
      <c r="L8" s="7">
        <v>0</v>
      </c>
      <c r="M8" s="12"/>
      <c r="N8" s="6"/>
      <c r="O8" s="6"/>
      <c r="P8" s="6"/>
      <c r="Q8" s="6"/>
      <c r="R8" s="6"/>
      <c r="S8" s="6"/>
      <c r="T8" s="6"/>
      <c r="U8" s="12">
        <v>-2.1059789762366563</v>
      </c>
      <c r="V8" s="6">
        <v>6.0212822977528668E-2</v>
      </c>
      <c r="W8" s="7">
        <v>5.972683340064943E-2</v>
      </c>
      <c r="X8" s="6"/>
      <c r="Y8" s="6"/>
      <c r="Z8" s="6"/>
      <c r="AA8" s="6"/>
      <c r="AB8" s="6"/>
      <c r="AC8" s="6"/>
      <c r="AD8" s="6"/>
      <c r="AE8" s="7"/>
      <c r="AF8" s="12">
        <v>4</v>
      </c>
      <c r="AG8" s="6">
        <v>0.68648594152182341</v>
      </c>
      <c r="AH8" s="7">
        <v>0.22519906517118218</v>
      </c>
      <c r="AI8" s="6"/>
      <c r="AJ8" s="6"/>
      <c r="AK8" s="6"/>
      <c r="AL8" s="6"/>
      <c r="AM8" s="6"/>
      <c r="AN8" s="6"/>
      <c r="AO8" s="6"/>
      <c r="AP8" s="6"/>
      <c r="AQ8" s="12">
        <v>4</v>
      </c>
      <c r="AR8" s="6">
        <v>0.99634015317265634</v>
      </c>
      <c r="AS8" s="7">
        <v>1.5328310048810094E-2</v>
      </c>
      <c r="AT8" s="6"/>
      <c r="AU8" s="6"/>
      <c r="AV8" s="6"/>
      <c r="AW8" s="6"/>
      <c r="AX8" s="6"/>
      <c r="AY8" s="6"/>
      <c r="AZ8" s="6"/>
      <c r="BA8" s="7"/>
      <c r="BL8" s="12"/>
      <c r="BM8" s="12">
        <v>0</v>
      </c>
      <c r="BN8" s="7">
        <v>0</v>
      </c>
      <c r="BO8" s="8" t="s">
        <v>42</v>
      </c>
      <c r="BP8" s="9"/>
      <c r="BQ8" s="9"/>
      <c r="BR8" s="9"/>
      <c r="BS8" s="11">
        <f xml:space="preserve"> 100 -BS7</f>
        <v>44</v>
      </c>
    </row>
    <row r="9" spans="1:71" x14ac:dyDescent="0.25">
      <c r="G9" s="12">
        <v>3.6548051393169958</v>
      </c>
      <c r="H9" s="6">
        <v>-1.548804332036525</v>
      </c>
      <c r="I9" s="6">
        <v>5</v>
      </c>
      <c r="J9" s="7">
        <v>2</v>
      </c>
      <c r="K9" s="17">
        <v>1.2</v>
      </c>
      <c r="L9" s="7">
        <v>0</v>
      </c>
      <c r="M9" s="12"/>
      <c r="N9" s="6"/>
      <c r="O9" s="6"/>
      <c r="P9" s="6"/>
      <c r="Q9" s="6"/>
      <c r="R9" s="6"/>
      <c r="S9" s="6"/>
      <c r="T9" s="6"/>
      <c r="U9" s="12">
        <v>-1.7850546757690609</v>
      </c>
      <c r="V9" s="6">
        <v>8.1881384580246491E-2</v>
      </c>
      <c r="W9" s="7">
        <v>7.5648935733424613E-2</v>
      </c>
      <c r="X9" s="6"/>
      <c r="Y9" s="6"/>
      <c r="Z9" s="6"/>
      <c r="AA9" s="6"/>
      <c r="AB9" s="6"/>
      <c r="AC9" s="6"/>
      <c r="AD9" s="6"/>
      <c r="AE9" s="7"/>
      <c r="AF9" s="12">
        <v>5</v>
      </c>
      <c r="AG9" s="6">
        <v>0.85163192264735699</v>
      </c>
      <c r="AH9" s="7">
        <v>0.16514598112553358</v>
      </c>
      <c r="AI9" s="6"/>
      <c r="AJ9" s="6"/>
      <c r="AK9" s="6"/>
      <c r="AL9" s="6"/>
      <c r="AM9" s="6"/>
      <c r="AN9" s="6"/>
      <c r="AO9" s="6"/>
      <c r="AP9" s="6"/>
      <c r="AQ9" s="12">
        <v>5</v>
      </c>
      <c r="AR9" s="6">
        <v>0.99940581518241833</v>
      </c>
      <c r="AS9" s="7">
        <v>3.06566200976202E-3</v>
      </c>
      <c r="AT9" s="6"/>
      <c r="AU9" s="6"/>
      <c r="AV9" s="6"/>
      <c r="AW9" s="6"/>
      <c r="AX9" s="6"/>
      <c r="AY9" s="6"/>
      <c r="AZ9" s="6"/>
      <c r="BA9" s="7"/>
      <c r="BL9" s="12"/>
      <c r="BM9" s="12">
        <v>0</v>
      </c>
      <c r="BN9" s="7">
        <v>1</v>
      </c>
      <c r="BO9" s="6"/>
      <c r="BP9" s="6"/>
      <c r="BQ9" s="6"/>
      <c r="BR9" s="6"/>
      <c r="BS9" s="7"/>
    </row>
    <row r="10" spans="1:71" x14ac:dyDescent="0.25">
      <c r="G10" s="12">
        <v>3.7670522171697134</v>
      </c>
      <c r="H10" s="6">
        <v>-1.3536540538771078</v>
      </c>
      <c r="I10" s="6">
        <v>1</v>
      </c>
      <c r="J10" s="7">
        <v>0</v>
      </c>
      <c r="K10" s="17">
        <v>1.4</v>
      </c>
      <c r="L10" s="7">
        <v>0</v>
      </c>
      <c r="M10" s="12"/>
      <c r="N10" s="6"/>
      <c r="O10" s="6"/>
      <c r="P10" s="6"/>
      <c r="Q10" s="6"/>
      <c r="R10" s="6"/>
      <c r="S10" s="6"/>
      <c r="T10" s="6"/>
      <c r="U10" s="12">
        <v>-1.548804332036525</v>
      </c>
      <c r="V10" s="6">
        <v>0.10126046254336697</v>
      </c>
      <c r="W10" s="7">
        <v>8.8554583520872671E-2</v>
      </c>
      <c r="X10" s="6"/>
      <c r="Y10" s="6"/>
      <c r="Z10" s="6"/>
      <c r="AA10" s="6"/>
      <c r="AB10" s="6"/>
      <c r="AC10" s="6"/>
      <c r="AD10" s="6"/>
      <c r="AE10" s="7"/>
      <c r="AF10" s="12">
        <v>6</v>
      </c>
      <c r="AG10" s="6">
        <v>0.94337968993932009</v>
      </c>
      <c r="AH10" s="7">
        <v>9.1747767291963059E-2</v>
      </c>
      <c r="AI10" s="6"/>
      <c r="AJ10" s="6"/>
      <c r="AK10" s="6"/>
      <c r="AL10" s="6"/>
      <c r="AM10" s="6"/>
      <c r="AN10" s="6"/>
      <c r="AO10" s="6"/>
      <c r="AP10" s="6"/>
      <c r="AQ10" s="12">
        <v>6</v>
      </c>
      <c r="AR10" s="6">
        <v>0.99991675885071196</v>
      </c>
      <c r="AS10" s="7">
        <v>5.1094366829366978E-4</v>
      </c>
      <c r="AT10" s="6"/>
      <c r="AU10" s="6"/>
      <c r="AV10" s="6"/>
      <c r="AW10" s="6"/>
      <c r="AX10" s="6"/>
      <c r="AY10" s="6"/>
      <c r="AZ10" s="6"/>
      <c r="BA10" s="7"/>
      <c r="BL10" s="12"/>
      <c r="BM10" s="12">
        <v>0</v>
      </c>
      <c r="BN10" s="7">
        <v>1</v>
      </c>
      <c r="BO10" s="6"/>
      <c r="BP10" s="6"/>
      <c r="BQ10" s="6"/>
      <c r="BR10" s="6"/>
      <c r="BS10" s="7"/>
    </row>
    <row r="11" spans="1:71" x14ac:dyDescent="0.25">
      <c r="G11" s="12">
        <v>3.7710806604205453</v>
      </c>
      <c r="H11" s="6">
        <v>-1.2340418581734411</v>
      </c>
      <c r="I11" s="6">
        <v>1</v>
      </c>
      <c r="J11" s="7">
        <v>0</v>
      </c>
      <c r="K11" s="17">
        <v>1.6</v>
      </c>
      <c r="L11" s="7">
        <v>0</v>
      </c>
      <c r="M11" s="12"/>
      <c r="N11" s="6"/>
      <c r="O11" s="6"/>
      <c r="P11" s="6"/>
      <c r="Q11" s="6"/>
      <c r="R11" s="6"/>
      <c r="S11" s="6"/>
      <c r="T11" s="6"/>
      <c r="U11" s="12">
        <v>-1.3536540538771078</v>
      </c>
      <c r="V11" s="6">
        <v>0.11963227643220323</v>
      </c>
      <c r="W11" s="7">
        <v>9.9804037613784341E-2</v>
      </c>
      <c r="X11" s="6"/>
      <c r="Y11" s="6"/>
      <c r="Z11" s="6"/>
      <c r="AA11" s="6"/>
      <c r="AB11" s="6"/>
      <c r="AC11" s="6"/>
      <c r="AD11" s="6"/>
      <c r="AE11" s="7"/>
      <c r="AF11" s="12">
        <v>7</v>
      </c>
      <c r="AG11" s="6">
        <v>0.9827001616358757</v>
      </c>
      <c r="AH11" s="7">
        <v>3.9320471696555608E-2</v>
      </c>
      <c r="AI11" s="6"/>
      <c r="AJ11" s="6"/>
      <c r="AK11" s="6"/>
      <c r="AL11" s="6"/>
      <c r="AM11" s="6"/>
      <c r="AN11" s="6"/>
      <c r="AO11" s="6"/>
      <c r="AP11" s="6"/>
      <c r="AQ11" s="12">
        <v>7</v>
      </c>
      <c r="AR11" s="6">
        <v>0.99998975080332531</v>
      </c>
      <c r="AS11" s="7">
        <v>7.2991952613381521E-5</v>
      </c>
      <c r="AT11" s="6"/>
      <c r="AU11" s="6"/>
      <c r="AV11" s="6"/>
      <c r="AW11" s="6"/>
      <c r="AX11" s="6"/>
      <c r="AY11" s="6"/>
      <c r="AZ11" s="6"/>
      <c r="BA11" s="7"/>
      <c r="BL11" s="12"/>
      <c r="BM11" s="12">
        <v>0</v>
      </c>
      <c r="BN11" s="7">
        <v>1</v>
      </c>
      <c r="BO11" s="6"/>
      <c r="BP11" s="6"/>
      <c r="BQ11" s="6"/>
      <c r="BR11" s="6"/>
      <c r="BS11" s="7"/>
    </row>
    <row r="12" spans="1:71" x14ac:dyDescent="0.25">
      <c r="G12" s="12">
        <v>3.7763908810693687</v>
      </c>
      <c r="H12" s="6">
        <v>-1.1825371732120402</v>
      </c>
      <c r="I12" s="6">
        <v>4</v>
      </c>
      <c r="J12" s="7">
        <v>1</v>
      </c>
      <c r="K12" s="17">
        <v>1.8</v>
      </c>
      <c r="L12" s="7">
        <v>0</v>
      </c>
      <c r="M12" s="12"/>
      <c r="N12" s="6"/>
      <c r="O12" s="6"/>
      <c r="P12" s="6"/>
      <c r="Q12" s="6"/>
      <c r="R12" s="6"/>
      <c r="S12" s="6"/>
      <c r="T12" s="6"/>
      <c r="U12" s="12">
        <v>-1.2340418581734411</v>
      </c>
      <c r="V12" s="6">
        <v>0.13199268831526448</v>
      </c>
      <c r="W12" s="7">
        <v>0.10689015166876403</v>
      </c>
      <c r="X12" s="6"/>
      <c r="Y12" s="6"/>
      <c r="Z12" s="6"/>
      <c r="AA12" s="6"/>
      <c r="AB12" s="6"/>
      <c r="AC12" s="6"/>
      <c r="AD12" s="6"/>
      <c r="AE12" s="7"/>
      <c r="AF12" s="12">
        <v>8</v>
      </c>
      <c r="AG12" s="6">
        <v>0.99580698553472757</v>
      </c>
      <c r="AH12" s="7">
        <v>1.3106823898851871E-2</v>
      </c>
      <c r="AI12" s="6"/>
      <c r="AJ12" s="6"/>
      <c r="AK12" s="6"/>
      <c r="AL12" s="6"/>
      <c r="AM12" s="6"/>
      <c r="AN12" s="6"/>
      <c r="AO12" s="6"/>
      <c r="AP12" s="6"/>
      <c r="AQ12" s="12">
        <v>8</v>
      </c>
      <c r="AR12" s="6">
        <v>0.99999887479740202</v>
      </c>
      <c r="AS12" s="7">
        <v>9.1239940766726546E-6</v>
      </c>
      <c r="AT12" s="6"/>
      <c r="AU12" s="6"/>
      <c r="AV12" s="6"/>
      <c r="AW12" s="6"/>
      <c r="AX12" s="6"/>
      <c r="AY12" s="6"/>
      <c r="AZ12" s="6"/>
      <c r="BA12" s="7"/>
      <c r="BL12" s="12"/>
      <c r="BM12" s="12">
        <v>0</v>
      </c>
      <c r="BN12" s="7">
        <v>0</v>
      </c>
      <c r="BO12" s="6"/>
      <c r="BP12" s="6"/>
      <c r="BQ12" s="6"/>
      <c r="BR12" s="6"/>
      <c r="BS12" s="7"/>
    </row>
    <row r="13" spans="1:71" x14ac:dyDescent="0.25">
      <c r="G13" s="12">
        <v>3.9417401654103212</v>
      </c>
      <c r="H13" s="6">
        <v>-1.0942025003023446</v>
      </c>
      <c r="I13" s="6">
        <v>3</v>
      </c>
      <c r="J13" s="7">
        <v>1</v>
      </c>
      <c r="K13" s="17">
        <v>2</v>
      </c>
      <c r="L13" s="7">
        <v>0</v>
      </c>
      <c r="M13" s="12"/>
      <c r="N13" s="6"/>
      <c r="O13" s="6"/>
      <c r="P13" s="6"/>
      <c r="Q13" s="6"/>
      <c r="R13" s="6"/>
      <c r="S13" s="6"/>
      <c r="T13" s="6"/>
      <c r="U13" s="12">
        <v>-1.1825371732120402</v>
      </c>
      <c r="V13" s="6">
        <v>0.13757735802175938</v>
      </c>
      <c r="W13" s="7">
        <v>0.10997312317454729</v>
      </c>
      <c r="X13" s="6"/>
      <c r="Y13" s="6"/>
      <c r="Z13" s="6"/>
      <c r="AA13" s="6"/>
      <c r="AB13" s="6"/>
      <c r="AC13" s="6"/>
      <c r="AD13" s="6"/>
      <c r="AE13" s="7"/>
      <c r="AF13" s="12">
        <v>9</v>
      </c>
      <c r="AG13" s="6">
        <v>0.99920505098998547</v>
      </c>
      <c r="AH13" s="7">
        <v>3.398065455257893E-3</v>
      </c>
      <c r="AI13" s="6"/>
      <c r="AJ13" s="6"/>
      <c r="AK13" s="6"/>
      <c r="AL13" s="6"/>
      <c r="AM13" s="6"/>
      <c r="AN13" s="6"/>
      <c r="AO13" s="6"/>
      <c r="AP13" s="6"/>
      <c r="AQ13" s="12">
        <v>9</v>
      </c>
      <c r="AR13" s="6">
        <v>0.9999998885745216</v>
      </c>
      <c r="AS13" s="7">
        <v>1.0137771196302961E-6</v>
      </c>
      <c r="AT13" s="6"/>
      <c r="AU13" s="6"/>
      <c r="AV13" s="6"/>
      <c r="AW13" s="6"/>
      <c r="AX13" s="6"/>
      <c r="AY13" s="6"/>
      <c r="AZ13" s="6"/>
      <c r="BA13" s="7"/>
      <c r="BL13" s="12"/>
      <c r="BM13" s="12">
        <v>1</v>
      </c>
      <c r="BN13" s="7">
        <v>0</v>
      </c>
      <c r="BO13" s="6"/>
      <c r="BP13" s="6"/>
      <c r="BQ13" s="6"/>
      <c r="BR13" s="6"/>
      <c r="BS13" s="7"/>
    </row>
    <row r="14" spans="1:71" x14ac:dyDescent="0.25">
      <c r="G14" s="12">
        <v>3.9481490524002809</v>
      </c>
      <c r="H14" s="6">
        <v>-1.0396601030370221</v>
      </c>
      <c r="I14" s="6">
        <v>3</v>
      </c>
      <c r="J14" s="7">
        <v>0</v>
      </c>
      <c r="K14" s="17">
        <v>2.2000000000000002</v>
      </c>
      <c r="L14" s="7">
        <v>0</v>
      </c>
      <c r="M14" s="12"/>
      <c r="N14" s="6"/>
      <c r="O14" s="6"/>
      <c r="P14" s="6"/>
      <c r="Q14" s="6"/>
      <c r="R14" s="6"/>
      <c r="S14" s="6"/>
      <c r="T14" s="6"/>
      <c r="U14" s="12">
        <v>-1.0942025003023446</v>
      </c>
      <c r="V14" s="6">
        <v>0.14752644140297527</v>
      </c>
      <c r="W14" s="7">
        <v>0.11529096359076603</v>
      </c>
      <c r="X14" s="6"/>
      <c r="Y14" s="6"/>
      <c r="Z14" s="6"/>
      <c r="AA14" s="6"/>
      <c r="AB14" s="6"/>
      <c r="AC14" s="6"/>
      <c r="AD14" s="6"/>
      <c r="AE14" s="7"/>
      <c r="AF14" s="12">
        <v>10</v>
      </c>
      <c r="AG14" s="6">
        <v>0.99988466408103704</v>
      </c>
      <c r="AH14" s="7">
        <v>6.7961309105157863E-4</v>
      </c>
      <c r="AI14" s="6"/>
      <c r="AJ14" s="6"/>
      <c r="AK14" s="6"/>
      <c r="AL14" s="6"/>
      <c r="AM14" s="6"/>
      <c r="AN14" s="6"/>
      <c r="AO14" s="6"/>
      <c r="AP14" s="6"/>
      <c r="AQ14" s="12">
        <v>10</v>
      </c>
      <c r="AR14" s="6">
        <v>0.9999999899522336</v>
      </c>
      <c r="AS14" s="7">
        <v>1.013777119630295E-7</v>
      </c>
      <c r="AT14" s="6"/>
      <c r="AU14" s="6"/>
      <c r="AV14" s="6"/>
      <c r="AW14" s="6"/>
      <c r="AX14" s="6"/>
      <c r="AY14" s="6"/>
      <c r="AZ14" s="6"/>
      <c r="BA14" s="7"/>
      <c r="BL14" s="12"/>
      <c r="BM14" s="12">
        <v>1</v>
      </c>
      <c r="BN14" s="7">
        <v>0</v>
      </c>
      <c r="BO14" s="6"/>
      <c r="BP14" s="6"/>
      <c r="BQ14" s="6"/>
      <c r="BR14" s="6"/>
      <c r="BS14" s="7"/>
    </row>
    <row r="15" spans="1:71" x14ac:dyDescent="0.25">
      <c r="G15" s="12">
        <v>3.9488814966277048</v>
      </c>
      <c r="H15" s="6">
        <v>-0.91446360986446962</v>
      </c>
      <c r="I15" s="6">
        <v>2</v>
      </c>
      <c r="J15" s="7">
        <v>2</v>
      </c>
      <c r="K15" s="17">
        <v>2.4</v>
      </c>
      <c r="L15" s="7">
        <v>0</v>
      </c>
      <c r="M15" s="12"/>
      <c r="N15" s="6"/>
      <c r="O15" s="6"/>
      <c r="P15" s="6"/>
      <c r="Q15" s="6"/>
      <c r="R15" s="6"/>
      <c r="S15" s="6"/>
      <c r="T15" s="6"/>
      <c r="U15" s="12">
        <v>-1.0396601030370221</v>
      </c>
      <c r="V15" s="6">
        <v>0.15390453408087065</v>
      </c>
      <c r="W15" s="7">
        <v>0.1185865291884011</v>
      </c>
      <c r="X15" s="6"/>
      <c r="Y15" s="6"/>
      <c r="Z15" s="6"/>
      <c r="AA15" s="6"/>
      <c r="AB15" s="6"/>
      <c r="AC15" s="6"/>
      <c r="AD15" s="6"/>
      <c r="AE15" s="7"/>
      <c r="AF15" s="12">
        <v>11</v>
      </c>
      <c r="AG15" s="6">
        <v>0.9999876357614994</v>
      </c>
      <c r="AH15" s="7">
        <v>1.0297168046236046E-4</v>
      </c>
      <c r="AI15" s="6"/>
      <c r="AJ15" s="6"/>
      <c r="AK15" s="6"/>
      <c r="AL15" s="6"/>
      <c r="AM15" s="6"/>
      <c r="AN15" s="6"/>
      <c r="AO15" s="6"/>
      <c r="AP15" s="6"/>
      <c r="AQ15" s="12">
        <v>11</v>
      </c>
      <c r="AR15" s="6">
        <v>0.99999999916838922</v>
      </c>
      <c r="AS15" s="7">
        <v>9.2161556330026647E-9</v>
      </c>
      <c r="AT15" s="6"/>
      <c r="AU15" s="6"/>
      <c r="AV15" s="6"/>
      <c r="AW15" s="6"/>
      <c r="AX15" s="6"/>
      <c r="AY15" s="6"/>
      <c r="AZ15" s="6"/>
      <c r="BA15" s="7"/>
      <c r="BL15" s="12"/>
      <c r="BM15" s="12">
        <v>0</v>
      </c>
      <c r="BN15" s="7">
        <v>0</v>
      </c>
      <c r="BO15" s="6"/>
      <c r="BP15" s="6"/>
      <c r="BQ15" s="6"/>
      <c r="BR15" s="6"/>
      <c r="BS15" s="7"/>
    </row>
    <row r="16" spans="1:71" x14ac:dyDescent="0.25">
      <c r="G16" s="12">
        <v>4.0023499252296517</v>
      </c>
      <c r="H16" s="6">
        <v>-0.79040853254264221</v>
      </c>
      <c r="I16" s="6">
        <v>2</v>
      </c>
      <c r="J16" s="7">
        <v>0</v>
      </c>
      <c r="K16" s="17">
        <v>2.6</v>
      </c>
      <c r="L16" s="7">
        <v>0</v>
      </c>
      <c r="M16" s="12"/>
      <c r="N16" s="6"/>
      <c r="O16" s="6"/>
      <c r="P16" s="6"/>
      <c r="Q16" s="6"/>
      <c r="R16" s="6"/>
      <c r="S16" s="6"/>
      <c r="T16" s="6"/>
      <c r="U16" s="12">
        <v>-0.91446360986446962</v>
      </c>
      <c r="V16" s="6">
        <v>0.16922513361639524</v>
      </c>
      <c r="W16" s="7">
        <v>0.12615650016523974</v>
      </c>
      <c r="X16" s="6"/>
      <c r="Y16" s="6"/>
      <c r="Z16" s="6"/>
      <c r="AA16" s="6"/>
      <c r="AB16" s="6"/>
      <c r="AC16" s="6"/>
      <c r="AD16" s="6"/>
      <c r="AE16" s="7"/>
      <c r="AF16" s="12">
        <v>12</v>
      </c>
      <c r="AG16" s="6">
        <v>0.99999907705932856</v>
      </c>
      <c r="AH16" s="7">
        <v>1.1441297829151157E-5</v>
      </c>
      <c r="AI16" s="6"/>
      <c r="AJ16" s="6"/>
      <c r="AK16" s="6"/>
      <c r="AL16" s="6"/>
      <c r="AM16" s="6"/>
      <c r="AN16" s="6"/>
      <c r="AO16" s="6"/>
      <c r="AP16" s="6"/>
      <c r="AQ16" s="12">
        <v>12</v>
      </c>
      <c r="AR16" s="6">
        <v>0.99999999993640221</v>
      </c>
      <c r="AS16" s="7">
        <v>7.680129694168931E-10</v>
      </c>
      <c r="AT16" s="6"/>
      <c r="AU16" s="6"/>
      <c r="AV16" s="6"/>
      <c r="AW16" s="6"/>
      <c r="AX16" s="6"/>
      <c r="AY16" s="6"/>
      <c r="AZ16" s="6"/>
      <c r="BA16" s="7"/>
      <c r="BL16" s="12"/>
      <c r="BM16" s="12">
        <v>0</v>
      </c>
      <c r="BN16" s="7">
        <v>1</v>
      </c>
      <c r="BO16" s="6"/>
      <c r="BP16" s="6"/>
      <c r="BQ16" s="6"/>
      <c r="BR16" s="6"/>
      <c r="BS16" s="7"/>
    </row>
    <row r="17" spans="7:71" x14ac:dyDescent="0.25">
      <c r="G17" s="12">
        <v>4.0195623645741136</v>
      </c>
      <c r="H17" s="6">
        <v>-0.69294253282714635</v>
      </c>
      <c r="I17" s="6">
        <v>4</v>
      </c>
      <c r="J17" s="7">
        <v>3</v>
      </c>
      <c r="K17" s="17">
        <v>2.8</v>
      </c>
      <c r="L17" s="7">
        <v>0</v>
      </c>
      <c r="M17" s="13"/>
      <c r="N17" s="10"/>
      <c r="O17" s="10"/>
      <c r="P17" s="10"/>
      <c r="Q17" s="10"/>
      <c r="R17" s="10"/>
      <c r="S17" s="10"/>
      <c r="T17" s="10"/>
      <c r="U17" s="12">
        <v>-0.79040853254264221</v>
      </c>
      <c r="V17" s="6">
        <v>0.18533895228348937</v>
      </c>
      <c r="W17" s="7">
        <v>0.13361656274253395</v>
      </c>
      <c r="X17" s="6"/>
      <c r="Y17" s="6"/>
      <c r="Z17" s="6"/>
      <c r="AA17" s="6"/>
      <c r="AB17" s="6"/>
      <c r="AC17" s="6"/>
      <c r="AD17" s="6"/>
      <c r="AE17" s="7"/>
      <c r="AF17" s="12">
        <v>13</v>
      </c>
      <c r="AG17" s="6">
        <v>0.99999995715916157</v>
      </c>
      <c r="AH17" s="7">
        <v>8.8009983301163059E-7</v>
      </c>
      <c r="AI17" s="6"/>
      <c r="AJ17" s="6"/>
      <c r="AK17" s="6"/>
      <c r="AL17" s="6"/>
      <c r="AM17" s="6"/>
      <c r="AN17" s="6"/>
      <c r="AO17" s="6"/>
      <c r="AP17" s="6"/>
      <c r="AQ17" s="12">
        <v>13</v>
      </c>
      <c r="AR17" s="6">
        <v>0.99999999999548017</v>
      </c>
      <c r="AS17" s="7">
        <v>5.9077920724376414E-11</v>
      </c>
      <c r="AT17" s="6"/>
      <c r="AU17" s="6"/>
      <c r="AV17" s="6"/>
      <c r="AW17" s="6"/>
      <c r="AX17" s="6"/>
      <c r="AY17" s="6"/>
      <c r="AZ17" s="6"/>
      <c r="BA17" s="7"/>
      <c r="BL17" s="12"/>
      <c r="BM17" s="12">
        <v>0</v>
      </c>
      <c r="BN17" s="7">
        <v>0</v>
      </c>
      <c r="BO17" s="6"/>
      <c r="BP17" s="6"/>
      <c r="BQ17" s="6"/>
      <c r="BR17" s="6"/>
      <c r="BS17" s="7"/>
    </row>
    <row r="18" spans="7:71" x14ac:dyDescent="0.25">
      <c r="G18" s="12">
        <v>4.1078218939786986</v>
      </c>
      <c r="H18" s="6">
        <v>-0.67614416568540037</v>
      </c>
      <c r="I18" s="6">
        <v>4</v>
      </c>
      <c r="J18" s="7">
        <v>0</v>
      </c>
      <c r="K18" s="17">
        <v>3</v>
      </c>
      <c r="L18" s="7">
        <v>0</v>
      </c>
      <c r="U18" s="12">
        <v>-0.69294253282714635</v>
      </c>
      <c r="V18" s="6">
        <v>0.19864494827767651</v>
      </c>
      <c r="W18" s="7">
        <v>0.13940909816250208</v>
      </c>
      <c r="X18" s="6"/>
      <c r="Y18" s="6"/>
      <c r="Z18" s="6"/>
      <c r="AA18" s="6"/>
      <c r="AB18" s="6"/>
      <c r="AC18" s="6"/>
      <c r="AD18" s="6"/>
      <c r="AE18" s="7"/>
      <c r="AF18" s="12">
        <v>14</v>
      </c>
      <c r="AG18" s="6">
        <v>0.99999999906867743</v>
      </c>
      <c r="AH18" s="7">
        <v>4.1909515857696467E-8</v>
      </c>
      <c r="AI18" s="6"/>
      <c r="AJ18" s="6"/>
      <c r="AK18" s="6"/>
      <c r="AL18" s="6"/>
      <c r="AM18" s="6"/>
      <c r="AN18" s="6"/>
      <c r="AO18" s="6"/>
      <c r="AP18" s="6"/>
      <c r="AQ18" s="12">
        <v>14</v>
      </c>
      <c r="AR18" s="6">
        <v>0.99999999999970002</v>
      </c>
      <c r="AS18" s="7">
        <v>4.2198514803125853E-12</v>
      </c>
      <c r="AT18" s="6"/>
      <c r="AU18" s="6"/>
      <c r="AV18" s="6"/>
      <c r="AW18" s="6"/>
      <c r="AX18" s="6"/>
      <c r="AY18" s="6"/>
      <c r="AZ18" s="6"/>
      <c r="BA18" s="7"/>
      <c r="BL18" s="12"/>
      <c r="BM18" s="12">
        <v>1</v>
      </c>
      <c r="BN18" s="7">
        <v>1</v>
      </c>
      <c r="BO18" s="6"/>
      <c r="BP18" s="6"/>
      <c r="BQ18" s="6"/>
      <c r="BR18" s="6"/>
      <c r="BS18" s="7"/>
    </row>
    <row r="19" spans="7:71" x14ac:dyDescent="0.25">
      <c r="G19" s="12">
        <v>4.3304849391155731</v>
      </c>
      <c r="H19" s="6">
        <v>-0.63990080181974918</v>
      </c>
      <c r="I19" s="6">
        <v>3</v>
      </c>
      <c r="J19" s="7">
        <v>1</v>
      </c>
      <c r="K19" s="17">
        <v>3.2</v>
      </c>
      <c r="L19" s="7">
        <v>3.3333333333333361E-2</v>
      </c>
      <c r="U19" s="12">
        <v>-0.67614416568540037</v>
      </c>
      <c r="V19" s="6">
        <v>0.20099511044441976</v>
      </c>
      <c r="W19" s="7">
        <v>0.14039882985591054</v>
      </c>
      <c r="X19" s="6"/>
      <c r="Y19" s="6"/>
      <c r="Z19" s="6"/>
      <c r="AA19" s="6"/>
      <c r="AB19" s="6"/>
      <c r="AC19" s="6"/>
      <c r="AD19" s="6"/>
      <c r="AE19" s="7"/>
      <c r="AF19" s="13">
        <v>15</v>
      </c>
      <c r="AG19" s="10">
        <v>1</v>
      </c>
      <c r="AH19" s="11">
        <v>9.3132257461547934E-10</v>
      </c>
      <c r="AI19" s="6"/>
      <c r="AJ19" s="6"/>
      <c r="AK19" s="6"/>
      <c r="AL19" s="6"/>
      <c r="AM19" s="6"/>
      <c r="AN19" s="6"/>
      <c r="AO19" s="6"/>
      <c r="AP19" s="6"/>
      <c r="AQ19" s="12">
        <v>15</v>
      </c>
      <c r="AR19" s="6">
        <v>0.99999999999998135</v>
      </c>
      <c r="AS19" s="7">
        <v>2.813234320208389E-13</v>
      </c>
      <c r="AT19" s="6"/>
      <c r="AU19" s="6"/>
      <c r="AV19" s="6"/>
      <c r="AW19" s="6"/>
      <c r="AX19" s="6"/>
      <c r="AY19" s="6"/>
      <c r="AZ19" s="6"/>
      <c r="BA19" s="7"/>
      <c r="BL19" s="12"/>
      <c r="BM19" s="12">
        <v>1</v>
      </c>
      <c r="BN19" s="7">
        <v>1</v>
      </c>
      <c r="BO19" s="6"/>
      <c r="BP19" s="6"/>
      <c r="BQ19" s="6"/>
      <c r="BR19" s="6"/>
      <c r="BS19" s="7"/>
    </row>
    <row r="20" spans="7:71" x14ac:dyDescent="0.25">
      <c r="G20" s="12">
        <v>4.3579515976439716</v>
      </c>
      <c r="H20" s="6">
        <v>-0.60503304869052954</v>
      </c>
      <c r="I20" s="6">
        <v>4</v>
      </c>
      <c r="J20" s="7">
        <v>0</v>
      </c>
      <c r="K20" s="17">
        <v>3.4</v>
      </c>
      <c r="L20" s="7">
        <v>6.6666666666666652E-2</v>
      </c>
      <c r="U20" s="12">
        <v>-0.63990080181974918</v>
      </c>
      <c r="V20" s="6">
        <v>0.20612219141734064</v>
      </c>
      <c r="W20" s="7">
        <v>0.14252397558012286</v>
      </c>
      <c r="X20" s="6"/>
      <c r="Y20" s="6"/>
      <c r="Z20" s="6"/>
      <c r="AA20" s="6"/>
      <c r="AB20" s="6"/>
      <c r="AC20" s="6"/>
      <c r="AD20" s="6"/>
      <c r="AE20" s="7"/>
      <c r="AF20" s="12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12">
        <v>16</v>
      </c>
      <c r="AR20" s="6">
        <v>0.99999999999999889</v>
      </c>
      <c r="AS20" s="7">
        <v>1.7582714501302425E-14</v>
      </c>
      <c r="AT20" s="6"/>
      <c r="AU20" s="6"/>
      <c r="AV20" s="6"/>
      <c r="AW20" s="6"/>
      <c r="AX20" s="6"/>
      <c r="AY20" s="6"/>
      <c r="AZ20" s="6"/>
      <c r="BA20" s="7"/>
      <c r="BL20" s="12"/>
      <c r="BM20" s="12">
        <v>1</v>
      </c>
      <c r="BN20" s="7">
        <v>0</v>
      </c>
      <c r="BO20" s="6"/>
      <c r="BP20" s="6"/>
      <c r="BQ20" s="6"/>
      <c r="BR20" s="6"/>
      <c r="BS20" s="7"/>
    </row>
    <row r="21" spans="7:71" x14ac:dyDescent="0.25">
      <c r="G21" s="12">
        <v>4.3683889278847623</v>
      </c>
      <c r="H21" s="6">
        <v>-0.56585883814841509</v>
      </c>
      <c r="I21" s="6">
        <v>5</v>
      </c>
      <c r="J21" s="7">
        <v>0</v>
      </c>
      <c r="K21" s="17">
        <v>3.6</v>
      </c>
      <c r="L21" s="7">
        <v>0.10000000000000002</v>
      </c>
      <c r="U21" s="12">
        <v>-0.60503304869052954</v>
      </c>
      <c r="V21" s="6">
        <v>0.21112711684879676</v>
      </c>
      <c r="W21" s="7">
        <v>0.14455400565620208</v>
      </c>
      <c r="X21" s="6"/>
      <c r="Y21" s="6"/>
      <c r="Z21" s="6"/>
      <c r="AA21" s="6"/>
      <c r="AB21" s="6"/>
      <c r="AC21" s="6"/>
      <c r="AD21" s="6"/>
      <c r="AE21" s="7"/>
      <c r="AF21" s="12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12">
        <v>17</v>
      </c>
      <c r="AR21" s="6">
        <v>1</v>
      </c>
      <c r="AS21" s="7">
        <v>1.0342773236060258E-15</v>
      </c>
      <c r="AT21" s="6"/>
      <c r="AU21" s="6"/>
      <c r="AV21" s="6"/>
      <c r="AW21" s="6"/>
      <c r="AX21" s="6"/>
      <c r="AY21" s="6"/>
      <c r="AZ21" s="6"/>
      <c r="BA21" s="7"/>
      <c r="BL21" s="12"/>
      <c r="BM21" s="12">
        <v>1</v>
      </c>
      <c r="BN21" s="7">
        <v>1</v>
      </c>
      <c r="BO21" s="6"/>
      <c r="BP21" s="6"/>
      <c r="BQ21" s="6"/>
      <c r="BR21" s="6"/>
      <c r="BS21" s="7"/>
    </row>
    <row r="22" spans="7:71" x14ac:dyDescent="0.25">
      <c r="G22" s="12">
        <v>4.387432477797784</v>
      </c>
      <c r="H22" s="6">
        <v>-0.39715211844304577</v>
      </c>
      <c r="I22" s="6">
        <v>5</v>
      </c>
      <c r="J22" s="7">
        <v>2</v>
      </c>
      <c r="K22" s="17">
        <v>3.8</v>
      </c>
      <c r="L22" s="7">
        <v>0.1333333333333333</v>
      </c>
      <c r="U22" s="12">
        <v>-0.56585883814841509</v>
      </c>
      <c r="V22" s="6">
        <v>0.21683428027423829</v>
      </c>
      <c r="W22" s="7">
        <v>0.14681603311064254</v>
      </c>
      <c r="X22" s="6"/>
      <c r="Y22" s="6"/>
      <c r="Z22" s="6"/>
      <c r="AA22" s="6"/>
      <c r="AB22" s="6"/>
      <c r="AC22" s="6"/>
      <c r="AD22" s="6"/>
      <c r="AE22" s="7"/>
      <c r="AF22" s="12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12">
        <v>18</v>
      </c>
      <c r="AR22" s="6">
        <v>1</v>
      </c>
      <c r="AS22" s="7">
        <v>5.7459851311446043E-17</v>
      </c>
      <c r="AT22" s="6"/>
      <c r="AU22" s="6"/>
      <c r="AV22" s="6"/>
      <c r="AW22" s="6"/>
      <c r="AX22" s="6"/>
      <c r="AY22" s="6"/>
      <c r="AZ22" s="6"/>
      <c r="BA22" s="7"/>
      <c r="BL22" s="12"/>
      <c r="BM22" s="12">
        <v>1</v>
      </c>
      <c r="BN22" s="7">
        <v>0</v>
      </c>
      <c r="BO22" s="6"/>
      <c r="BP22" s="6"/>
      <c r="BQ22" s="6"/>
      <c r="BR22" s="6"/>
      <c r="BS22" s="7"/>
    </row>
    <row r="23" spans="7:71" x14ac:dyDescent="0.25">
      <c r="G23" s="12">
        <v>4.4383373516037476</v>
      </c>
      <c r="H23" s="6">
        <v>-0.381959009449929</v>
      </c>
      <c r="I23" s="6">
        <v>3</v>
      </c>
      <c r="J23" s="7">
        <v>0</v>
      </c>
      <c r="K23" s="17">
        <v>4</v>
      </c>
      <c r="L23" s="7">
        <v>0.16666666666666666</v>
      </c>
      <c r="U23" s="12">
        <v>-0.39715211844304577</v>
      </c>
      <c r="V23" s="6">
        <v>0.24240850485023774</v>
      </c>
      <c r="W23" s="7">
        <v>0.15628250671565808</v>
      </c>
      <c r="X23" s="6"/>
      <c r="Y23" s="6"/>
      <c r="Z23" s="6"/>
      <c r="AA23" s="6"/>
      <c r="AB23" s="6"/>
      <c r="AC23" s="6"/>
      <c r="AD23" s="6"/>
      <c r="AE23" s="7"/>
      <c r="AF23" s="12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12">
        <v>19</v>
      </c>
      <c r="AR23" s="6">
        <v>1</v>
      </c>
      <c r="AS23" s="7">
        <v>3.0242027006024186E-18</v>
      </c>
      <c r="AT23" s="6"/>
      <c r="AU23" s="6"/>
      <c r="AV23" s="6"/>
      <c r="AW23" s="6"/>
      <c r="AX23" s="6"/>
      <c r="AY23" s="6"/>
      <c r="AZ23" s="6"/>
      <c r="BA23" s="7"/>
      <c r="BL23" s="12"/>
      <c r="BM23" s="12">
        <v>0</v>
      </c>
      <c r="BN23" s="7">
        <v>1</v>
      </c>
      <c r="BO23" s="6"/>
      <c r="BP23" s="6"/>
      <c r="BQ23" s="6"/>
      <c r="BR23" s="6"/>
      <c r="BS23" s="7"/>
    </row>
    <row r="24" spans="7:71" x14ac:dyDescent="0.25">
      <c r="G24" s="12">
        <v>4.4416333506271553</v>
      </c>
      <c r="H24" s="6">
        <v>-0.37982397063751705</v>
      </c>
      <c r="I24" s="6">
        <v>2</v>
      </c>
      <c r="J24" s="7">
        <v>2</v>
      </c>
      <c r="K24" s="17">
        <v>4.2</v>
      </c>
      <c r="L24" s="7">
        <v>0.20000000000000004</v>
      </c>
      <c r="U24" s="12">
        <v>-0.381959009449929</v>
      </c>
      <c r="V24" s="6">
        <v>0.24478921048423113</v>
      </c>
      <c r="W24" s="7">
        <v>0.15710953342846035</v>
      </c>
      <c r="X24" s="6"/>
      <c r="Y24" s="6"/>
      <c r="Z24" s="6"/>
      <c r="AA24" s="6"/>
      <c r="AB24" s="6"/>
      <c r="AC24" s="6"/>
      <c r="AD24" s="6"/>
      <c r="AE24" s="7"/>
      <c r="AF24" s="12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13">
        <v>20</v>
      </c>
      <c r="AR24" s="10">
        <v>1</v>
      </c>
      <c r="AS24" s="11">
        <v>1.51210135030121E-19</v>
      </c>
      <c r="AT24" s="6"/>
      <c r="AU24" s="6"/>
      <c r="AV24" s="6"/>
      <c r="AW24" s="6"/>
      <c r="AX24" s="6"/>
      <c r="AY24" s="6"/>
      <c r="AZ24" s="6"/>
      <c r="BA24" s="7"/>
      <c r="BL24" s="12"/>
      <c r="BM24" s="12">
        <v>0</v>
      </c>
      <c r="BN24" s="7">
        <v>1</v>
      </c>
      <c r="BO24" s="6"/>
      <c r="BP24" s="6"/>
      <c r="BQ24" s="6"/>
      <c r="BR24" s="6"/>
      <c r="BS24" s="7"/>
    </row>
    <row r="25" spans="7:71" x14ac:dyDescent="0.25">
      <c r="G25" s="12">
        <v>4.4451124607074188</v>
      </c>
      <c r="H25" s="6">
        <v>-0.19038759294198826</v>
      </c>
      <c r="I25" s="6">
        <v>2</v>
      </c>
      <c r="J25" s="7">
        <v>2</v>
      </c>
      <c r="K25" s="17">
        <v>4.4000000000000004</v>
      </c>
      <c r="L25" s="7">
        <v>0.23333333333333339</v>
      </c>
      <c r="U25" s="12">
        <v>-0.37982397063751705</v>
      </c>
      <c r="V25" s="6">
        <v>0.24512476911669734</v>
      </c>
      <c r="W25" s="7">
        <v>0.157225375932455</v>
      </c>
      <c r="X25" s="6"/>
      <c r="Y25" s="6"/>
      <c r="Z25" s="6"/>
      <c r="AA25" s="6"/>
      <c r="AB25" s="6"/>
      <c r="AC25" s="6"/>
      <c r="AD25" s="6"/>
      <c r="AE25" s="7"/>
      <c r="AF25" s="12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12"/>
      <c r="AR25" s="6"/>
      <c r="AS25" s="6"/>
      <c r="AT25" s="6"/>
      <c r="AU25" s="6"/>
      <c r="AV25" s="6"/>
      <c r="AW25" s="6"/>
      <c r="AX25" s="6"/>
      <c r="AY25" s="6"/>
      <c r="AZ25" s="6"/>
      <c r="BA25" s="7"/>
      <c r="BL25" s="12"/>
      <c r="BM25" s="12">
        <v>0</v>
      </c>
      <c r="BN25" s="7">
        <v>0</v>
      </c>
      <c r="BO25" s="6"/>
      <c r="BP25" s="6"/>
      <c r="BQ25" s="6"/>
      <c r="BR25" s="6"/>
      <c r="BS25" s="7"/>
    </row>
    <row r="26" spans="7:71" x14ac:dyDescent="0.25">
      <c r="G26" s="12">
        <v>4.5037079989013336</v>
      </c>
      <c r="H26" s="6">
        <v>-0.14953991214861162</v>
      </c>
      <c r="I26" s="6">
        <v>3</v>
      </c>
      <c r="J26" s="7">
        <v>0</v>
      </c>
      <c r="K26" s="17">
        <v>4.5999999999999996</v>
      </c>
      <c r="L26" s="7">
        <v>0.26666666666666661</v>
      </c>
      <c r="U26" s="12">
        <v>-0.19038759294198826</v>
      </c>
      <c r="V26" s="6">
        <v>0.27585696826032513</v>
      </c>
      <c r="W26" s="7">
        <v>0.16709152856848286</v>
      </c>
      <c r="X26" s="6"/>
      <c r="Y26" s="6"/>
      <c r="Z26" s="6"/>
      <c r="AA26" s="6"/>
      <c r="AB26" s="6"/>
      <c r="AC26" s="6"/>
      <c r="AD26" s="6"/>
      <c r="AE26" s="7"/>
      <c r="AF26" s="12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12"/>
      <c r="AR26" s="6"/>
      <c r="AS26" s="6"/>
      <c r="AT26" s="6"/>
      <c r="AU26" s="6"/>
      <c r="AV26" s="6"/>
      <c r="AW26" s="6"/>
      <c r="AX26" s="6"/>
      <c r="AY26" s="6"/>
      <c r="AZ26" s="6"/>
      <c r="BA26" s="7"/>
      <c r="BL26" s="12"/>
      <c r="BM26" s="12">
        <v>0</v>
      </c>
      <c r="BN26" s="7">
        <v>0</v>
      </c>
      <c r="BO26" s="6"/>
      <c r="BP26" s="6"/>
      <c r="BQ26" s="6"/>
      <c r="BR26" s="6"/>
      <c r="BS26" s="7"/>
    </row>
    <row r="27" spans="7:71" x14ac:dyDescent="0.25">
      <c r="G27" s="12">
        <v>4.5758537553025906</v>
      </c>
      <c r="H27" s="6">
        <v>-0.1016800272045657</v>
      </c>
      <c r="I27" s="6">
        <v>4</v>
      </c>
      <c r="J27" s="7">
        <v>1</v>
      </c>
      <c r="K27" s="17">
        <v>4.8</v>
      </c>
      <c r="L27" s="7">
        <v>0.3</v>
      </c>
      <c r="U27" s="12">
        <v>-0.14953991214861162</v>
      </c>
      <c r="V27" s="6">
        <v>0.2827234441356305</v>
      </c>
      <c r="W27" s="7">
        <v>0.16909984072650217</v>
      </c>
      <c r="X27" s="6"/>
      <c r="Y27" s="6"/>
      <c r="Z27" s="6"/>
      <c r="AA27" s="6"/>
      <c r="AB27" s="6"/>
      <c r="AC27" s="6"/>
      <c r="AD27" s="6"/>
      <c r="AE27" s="7"/>
      <c r="AF27" s="12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12"/>
      <c r="AR27" s="6"/>
      <c r="AS27" s="6"/>
      <c r="AT27" s="6"/>
      <c r="AU27" s="6"/>
      <c r="AV27" s="6"/>
      <c r="AW27" s="6"/>
      <c r="AX27" s="6"/>
      <c r="AY27" s="6"/>
      <c r="AZ27" s="6"/>
      <c r="BA27" s="7"/>
      <c r="BL27" s="12"/>
      <c r="BM27" s="12">
        <v>1</v>
      </c>
      <c r="BN27" s="7">
        <v>1</v>
      </c>
      <c r="BO27" s="6"/>
      <c r="BP27" s="6"/>
      <c r="BQ27" s="6"/>
      <c r="BR27" s="6"/>
      <c r="BS27" s="7"/>
    </row>
    <row r="28" spans="7:71" x14ac:dyDescent="0.25">
      <c r="G28" s="12">
        <v>4.6121097445600761</v>
      </c>
      <c r="H28" s="6">
        <v>7.2369973873719573E-2</v>
      </c>
      <c r="I28" s="6">
        <v>3</v>
      </c>
      <c r="J28" s="7">
        <v>1</v>
      </c>
      <c r="K28" s="17">
        <v>5</v>
      </c>
      <c r="L28" s="7">
        <v>0.33333333333333331</v>
      </c>
      <c r="U28" s="12">
        <v>-0.1016800272045657</v>
      </c>
      <c r="V28" s="6">
        <v>0.29087167585591162</v>
      </c>
      <c r="W28" s="7">
        <v>0.17139266402465803</v>
      </c>
      <c r="X28" s="6"/>
      <c r="Y28" s="6"/>
      <c r="Z28" s="6"/>
      <c r="AA28" s="6"/>
      <c r="AB28" s="6"/>
      <c r="AC28" s="6"/>
      <c r="AD28" s="6"/>
      <c r="AE28" s="7"/>
      <c r="AF28" s="12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12"/>
      <c r="AR28" s="6"/>
      <c r="AS28" s="6"/>
      <c r="AT28" s="6"/>
      <c r="AU28" s="6"/>
      <c r="AV28" s="6"/>
      <c r="AW28" s="6"/>
      <c r="AX28" s="6"/>
      <c r="AY28" s="6"/>
      <c r="AZ28" s="6"/>
      <c r="BA28" s="7"/>
      <c r="BL28" s="12"/>
      <c r="BM28" s="12">
        <v>1</v>
      </c>
      <c r="BN28" s="7">
        <v>1</v>
      </c>
      <c r="BO28" s="6"/>
      <c r="BP28" s="6"/>
      <c r="BQ28" s="6"/>
      <c r="BR28" s="6"/>
      <c r="BS28" s="7"/>
    </row>
    <row r="29" spans="7:71" x14ac:dyDescent="0.25">
      <c r="G29" s="12">
        <v>4.6450697347941521</v>
      </c>
      <c r="H29" s="6">
        <v>0.12386101641459391</v>
      </c>
      <c r="I29" s="6">
        <v>5</v>
      </c>
      <c r="J29" s="7">
        <v>1</v>
      </c>
      <c r="K29" s="17">
        <v>5.2</v>
      </c>
      <c r="L29" s="7">
        <v>0.3666666666666667</v>
      </c>
      <c r="U29" s="12">
        <v>7.2369973873719573E-2</v>
      </c>
      <c r="V29" s="6">
        <v>0.3213901430995465</v>
      </c>
      <c r="W29" s="7">
        <v>0.17912920875213792</v>
      </c>
      <c r="X29" s="6"/>
      <c r="Y29" s="6"/>
      <c r="Z29" s="6"/>
      <c r="AA29" s="6"/>
      <c r="AB29" s="6"/>
      <c r="AC29" s="6"/>
      <c r="AD29" s="6"/>
      <c r="AE29" s="7"/>
      <c r="AF29" s="12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12"/>
      <c r="AR29" s="6"/>
      <c r="AS29" s="6"/>
      <c r="AT29" s="6"/>
      <c r="AU29" s="6"/>
      <c r="AV29" s="6"/>
      <c r="AW29" s="6"/>
      <c r="AX29" s="6"/>
      <c r="AY29" s="6"/>
      <c r="AZ29" s="6"/>
      <c r="BA29" s="7"/>
      <c r="BL29" s="12"/>
      <c r="BM29" s="12">
        <v>0</v>
      </c>
      <c r="BN29" s="7">
        <v>1</v>
      </c>
      <c r="BO29" s="6"/>
      <c r="BP29" s="6"/>
      <c r="BQ29" s="6"/>
      <c r="BR29" s="6"/>
      <c r="BS29" s="7"/>
    </row>
    <row r="30" spans="7:71" x14ac:dyDescent="0.25">
      <c r="G30" s="12">
        <v>4.6686910611285741</v>
      </c>
      <c r="H30" s="6">
        <v>0.14754425844876096</v>
      </c>
      <c r="I30" s="6">
        <v>3</v>
      </c>
      <c r="J30" s="7">
        <v>2</v>
      </c>
      <c r="K30" s="17">
        <v>5.4</v>
      </c>
      <c r="L30" s="7">
        <v>0.40000000000000008</v>
      </c>
      <c r="U30" s="12">
        <v>0.12386101641459391</v>
      </c>
      <c r="V30" s="6">
        <v>0.33066795459068365</v>
      </c>
      <c r="W30" s="7">
        <v>0.18122097181367466</v>
      </c>
      <c r="X30" s="6"/>
      <c r="Y30" s="6"/>
      <c r="Z30" s="6"/>
      <c r="AA30" s="6"/>
      <c r="AB30" s="6"/>
      <c r="AC30" s="6"/>
      <c r="AD30" s="6"/>
      <c r="AE30" s="7"/>
      <c r="AF30" s="12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12"/>
      <c r="AR30" s="6"/>
      <c r="AS30" s="6"/>
      <c r="AT30" s="6"/>
      <c r="AU30" s="6"/>
      <c r="AV30" s="6"/>
      <c r="AW30" s="6"/>
      <c r="AX30" s="6"/>
      <c r="AY30" s="6"/>
      <c r="AZ30" s="6"/>
      <c r="BA30" s="7"/>
      <c r="BL30" s="12"/>
      <c r="BM30" s="12">
        <v>1</v>
      </c>
      <c r="BN30" s="7">
        <v>1</v>
      </c>
      <c r="BO30" s="6"/>
      <c r="BP30" s="6"/>
      <c r="BQ30" s="6"/>
      <c r="BR30" s="6"/>
      <c r="BS30" s="7"/>
    </row>
    <row r="31" spans="7:71" x14ac:dyDescent="0.25">
      <c r="G31" s="12">
        <v>4.6866359447004609</v>
      </c>
      <c r="H31" s="6">
        <v>0.22334836810478009</v>
      </c>
      <c r="I31" s="6">
        <v>6</v>
      </c>
      <c r="J31" s="7">
        <v>2</v>
      </c>
      <c r="K31" s="17">
        <v>5.6</v>
      </c>
      <c r="L31" s="7">
        <v>0.43333333333333329</v>
      </c>
      <c r="U31" s="12">
        <v>0.14754425844876096</v>
      </c>
      <c r="V31" s="6">
        <v>0.33497090532315077</v>
      </c>
      <c r="W31" s="7">
        <v>0.18215071819154102</v>
      </c>
      <c r="X31" s="6"/>
      <c r="Y31" s="6"/>
      <c r="Z31" s="6"/>
      <c r="AA31" s="6"/>
      <c r="AB31" s="6"/>
      <c r="AC31" s="6"/>
      <c r="AD31" s="6"/>
      <c r="AE31" s="7"/>
      <c r="AF31" s="12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12"/>
      <c r="AR31" s="6"/>
      <c r="AS31" s="6"/>
      <c r="AT31" s="6"/>
      <c r="AU31" s="6"/>
      <c r="AV31" s="6"/>
      <c r="AW31" s="6"/>
      <c r="AX31" s="6"/>
      <c r="AY31" s="6"/>
      <c r="AZ31" s="6"/>
      <c r="BA31" s="7"/>
      <c r="BL31" s="12"/>
      <c r="BM31" s="12">
        <v>0</v>
      </c>
      <c r="BN31" s="7">
        <v>1</v>
      </c>
      <c r="BO31" s="6"/>
      <c r="BP31" s="6"/>
      <c r="BQ31" s="6"/>
      <c r="BR31" s="6"/>
      <c r="BS31" s="7"/>
    </row>
    <row r="32" spans="7:71" x14ac:dyDescent="0.25">
      <c r="G32" s="12">
        <v>4.6972563859981076</v>
      </c>
      <c r="H32" s="6">
        <v>0.35263303996180184</v>
      </c>
      <c r="I32" s="6">
        <v>5</v>
      </c>
      <c r="J32" s="7">
        <v>0</v>
      </c>
      <c r="K32" s="17">
        <v>5.8</v>
      </c>
      <c r="L32" s="7">
        <v>0.46666666666666662</v>
      </c>
      <c r="U32" s="12">
        <v>0.22334836810478009</v>
      </c>
      <c r="V32" s="6">
        <v>0.34888746749100691</v>
      </c>
      <c r="W32" s="7">
        <v>0.18498432570164589</v>
      </c>
      <c r="X32" s="6"/>
      <c r="Y32" s="6"/>
      <c r="Z32" s="6"/>
      <c r="AA32" s="6"/>
      <c r="AB32" s="6"/>
      <c r="AC32" s="6"/>
      <c r="AD32" s="6"/>
      <c r="AE32" s="7"/>
      <c r="AF32" s="12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12"/>
      <c r="AR32" s="6"/>
      <c r="AS32" s="6"/>
      <c r="AT32" s="6"/>
      <c r="AU32" s="6"/>
      <c r="AV32" s="6"/>
      <c r="AW32" s="6"/>
      <c r="AX32" s="6"/>
      <c r="AY32" s="6"/>
      <c r="AZ32" s="6"/>
      <c r="BA32" s="7"/>
      <c r="BL32" s="12"/>
      <c r="BM32" s="12">
        <v>1</v>
      </c>
      <c r="BN32" s="7">
        <v>1</v>
      </c>
      <c r="BO32" s="6"/>
      <c r="BP32" s="6"/>
      <c r="BQ32" s="6"/>
      <c r="BR32" s="6"/>
      <c r="BS32" s="7"/>
    </row>
    <row r="33" spans="7:71" x14ac:dyDescent="0.25">
      <c r="G33" s="12">
        <v>4.7119052705465867</v>
      </c>
      <c r="H33" s="6">
        <v>0.38286919132224284</v>
      </c>
      <c r="I33" s="6">
        <v>2</v>
      </c>
      <c r="J33" s="7">
        <v>0</v>
      </c>
      <c r="K33" s="17">
        <v>6</v>
      </c>
      <c r="L33" s="7">
        <v>0.5</v>
      </c>
      <c r="U33" s="12">
        <v>0.35263303996180184</v>
      </c>
      <c r="V33" s="6">
        <v>0.3730888395694501</v>
      </c>
      <c r="W33" s="7">
        <v>0.18929072630348026</v>
      </c>
      <c r="X33" s="6"/>
      <c r="Y33" s="6"/>
      <c r="Z33" s="6"/>
      <c r="AA33" s="6"/>
      <c r="AB33" s="6"/>
      <c r="AC33" s="6"/>
      <c r="AD33" s="6"/>
      <c r="AE33" s="7"/>
      <c r="AF33" s="13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2"/>
      <c r="AR33" s="6"/>
      <c r="AS33" s="6"/>
      <c r="AT33" s="6"/>
      <c r="AU33" s="6"/>
      <c r="AV33" s="6"/>
      <c r="AW33" s="6"/>
      <c r="AX33" s="6"/>
      <c r="AY33" s="6"/>
      <c r="AZ33" s="6"/>
      <c r="BA33" s="7"/>
      <c r="BL33" s="12"/>
      <c r="BM33" s="12">
        <v>1</v>
      </c>
      <c r="BN33" s="7">
        <v>1</v>
      </c>
      <c r="BO33" s="6"/>
      <c r="BP33" s="6"/>
      <c r="BQ33" s="6"/>
      <c r="BR33" s="6"/>
      <c r="BS33" s="7"/>
    </row>
    <row r="34" spans="7:71" x14ac:dyDescent="0.25">
      <c r="G34" s="12">
        <v>4.7316812646870332</v>
      </c>
      <c r="H34" s="6">
        <v>0.40529505693120882</v>
      </c>
      <c r="I34" s="6">
        <v>2</v>
      </c>
      <c r="J34" s="7">
        <v>0</v>
      </c>
      <c r="K34" s="17">
        <v>6.2</v>
      </c>
      <c r="L34" s="7">
        <v>0.53333333333333333</v>
      </c>
      <c r="U34" s="12">
        <v>0.38286919132224284</v>
      </c>
      <c r="V34" s="6">
        <v>0.37882607037978733</v>
      </c>
      <c r="W34" s="7">
        <v>0.19019754847642104</v>
      </c>
      <c r="X34" s="6"/>
      <c r="Y34" s="6"/>
      <c r="Z34" s="6"/>
      <c r="AA34" s="6"/>
      <c r="AB34" s="6"/>
      <c r="AC34" s="6"/>
      <c r="AD34" s="6"/>
      <c r="AE34" s="7"/>
      <c r="AQ34" s="13"/>
      <c r="AR34" s="10"/>
      <c r="AS34" s="10"/>
      <c r="AT34" s="10"/>
      <c r="AU34" s="10"/>
      <c r="AV34" s="10"/>
      <c r="AW34" s="10"/>
      <c r="AX34" s="10"/>
      <c r="AY34" s="10"/>
      <c r="AZ34" s="10"/>
      <c r="BA34" s="11"/>
      <c r="BL34" s="12"/>
      <c r="BM34" s="12">
        <v>1</v>
      </c>
      <c r="BN34" s="7">
        <v>1</v>
      </c>
      <c r="BO34" s="6"/>
      <c r="BP34" s="6"/>
      <c r="BQ34" s="6"/>
      <c r="BR34" s="6"/>
      <c r="BS34" s="7"/>
    </row>
    <row r="35" spans="7:71" x14ac:dyDescent="0.25">
      <c r="G35" s="12">
        <v>4.7477950376903593</v>
      </c>
      <c r="H35" s="6">
        <v>0.43609054753324017</v>
      </c>
      <c r="I35" s="6">
        <v>4</v>
      </c>
      <c r="J35" s="7">
        <v>3</v>
      </c>
      <c r="K35" s="17">
        <v>6.4</v>
      </c>
      <c r="L35" s="7">
        <v>0.56666666666666676</v>
      </c>
      <c r="U35" s="12">
        <v>0.40529505693120882</v>
      </c>
      <c r="V35" s="6">
        <v>0.38309871283015262</v>
      </c>
      <c r="W35" s="7">
        <v>0.19084475930470851</v>
      </c>
      <c r="X35" s="6"/>
      <c r="Y35" s="6"/>
      <c r="Z35" s="6"/>
      <c r="AA35" s="6"/>
      <c r="AB35" s="6"/>
      <c r="AC35" s="6"/>
      <c r="AD35" s="6"/>
      <c r="AE35" s="7"/>
      <c r="BL35" s="12"/>
      <c r="BM35" s="12">
        <v>0</v>
      </c>
      <c r="BN35" s="7">
        <v>1</v>
      </c>
      <c r="BO35" s="6"/>
      <c r="BP35" s="6"/>
      <c r="BQ35" s="6"/>
      <c r="BR35" s="6"/>
      <c r="BS35" s="7"/>
    </row>
    <row r="36" spans="7:71" x14ac:dyDescent="0.25">
      <c r="G36" s="12">
        <v>4.766289254432813</v>
      </c>
      <c r="H36" s="6">
        <v>0.45643821774865501</v>
      </c>
      <c r="I36" s="6">
        <v>8</v>
      </c>
      <c r="J36" s="7">
        <v>1</v>
      </c>
      <c r="K36" s="17">
        <v>6.6</v>
      </c>
      <c r="L36" s="7">
        <v>0.6</v>
      </c>
      <c r="U36" s="12">
        <v>0.43609054753324017</v>
      </c>
      <c r="V36" s="6">
        <v>0.38898911280544707</v>
      </c>
      <c r="W36" s="7">
        <v>0.19169783022578055</v>
      </c>
      <c r="X36" s="6"/>
      <c r="Y36" s="6"/>
      <c r="Z36" s="6"/>
      <c r="AA36" s="6"/>
      <c r="AB36" s="6"/>
      <c r="AC36" s="6"/>
      <c r="AD36" s="6"/>
      <c r="AE36" s="7"/>
      <c r="BL36" s="12"/>
      <c r="BM36" s="12">
        <v>1</v>
      </c>
      <c r="BN36" s="7">
        <v>1</v>
      </c>
      <c r="BO36" s="6"/>
      <c r="BP36" s="6"/>
      <c r="BQ36" s="6"/>
      <c r="BR36" s="6"/>
      <c r="BS36" s="7"/>
    </row>
    <row r="37" spans="7:71" x14ac:dyDescent="0.25">
      <c r="G37" s="12">
        <v>4.7721488082522043</v>
      </c>
      <c r="H37" s="6">
        <v>0.53037786326603964</v>
      </c>
      <c r="I37" s="6">
        <v>2</v>
      </c>
      <c r="J37" s="7">
        <v>4</v>
      </c>
      <c r="K37" s="17">
        <v>6.8</v>
      </c>
      <c r="L37" s="7">
        <v>0.6333333333333333</v>
      </c>
      <c r="U37" s="12">
        <v>0.45643821774865501</v>
      </c>
      <c r="V37" s="6">
        <v>0.39289524951574228</v>
      </c>
      <c r="W37" s="7">
        <v>0.19223856731727879</v>
      </c>
      <c r="X37" s="6"/>
      <c r="Y37" s="6"/>
      <c r="Z37" s="6"/>
      <c r="AA37" s="6"/>
      <c r="AB37" s="6"/>
      <c r="AC37" s="6"/>
      <c r="AD37" s="6"/>
      <c r="AE37" s="7"/>
      <c r="BL37" s="12"/>
      <c r="BM37" s="12">
        <v>0</v>
      </c>
      <c r="BN37" s="7">
        <v>1</v>
      </c>
      <c r="BO37" s="6"/>
      <c r="BP37" s="6"/>
      <c r="BQ37" s="6"/>
      <c r="BR37" s="6"/>
      <c r="BS37" s="7"/>
    </row>
    <row r="38" spans="7:71" x14ac:dyDescent="0.25">
      <c r="G38" s="12">
        <v>4.7840510269478438</v>
      </c>
      <c r="H38" s="6">
        <v>0.54012309899553657</v>
      </c>
      <c r="I38" s="6">
        <v>2</v>
      </c>
      <c r="J38" s="7">
        <v>0</v>
      </c>
      <c r="K38" s="17">
        <v>7</v>
      </c>
      <c r="L38" s="7">
        <v>0.66666666666666663</v>
      </c>
      <c r="U38" s="12">
        <v>0.53037786326603964</v>
      </c>
      <c r="V38" s="6">
        <v>0.40717768829359274</v>
      </c>
      <c r="W38" s="7">
        <v>0.19404720346639942</v>
      </c>
      <c r="X38" s="6"/>
      <c r="Y38" s="6"/>
      <c r="Z38" s="6"/>
      <c r="AA38" s="6"/>
      <c r="AB38" s="6"/>
      <c r="AC38" s="6"/>
      <c r="AD38" s="6"/>
      <c r="AE38" s="7"/>
      <c r="BL38" s="12"/>
      <c r="BM38" s="12">
        <v>0</v>
      </c>
      <c r="BN38" s="7">
        <v>1</v>
      </c>
      <c r="BO38" s="6"/>
      <c r="BP38" s="6"/>
      <c r="BQ38" s="6"/>
      <c r="BR38" s="6"/>
      <c r="BS38" s="7"/>
    </row>
    <row r="39" spans="7:71" x14ac:dyDescent="0.25">
      <c r="G39" s="12">
        <v>4.9651478621784113</v>
      </c>
      <c r="H39" s="6">
        <v>0.58040689307381399</v>
      </c>
      <c r="I39" s="6">
        <v>8</v>
      </c>
      <c r="J39" s="7">
        <v>0</v>
      </c>
      <c r="K39" s="17">
        <v>7.2</v>
      </c>
      <c r="L39" s="7">
        <v>0.70000000000000007</v>
      </c>
      <c r="U39" s="12">
        <v>0.54012309899553657</v>
      </c>
      <c r="V39" s="6">
        <v>0.40906979876654065</v>
      </c>
      <c r="W39" s="7">
        <v>0.19426704238942769</v>
      </c>
      <c r="X39" s="6"/>
      <c r="Y39" s="6"/>
      <c r="Z39" s="6"/>
      <c r="AA39" s="6"/>
      <c r="AB39" s="6"/>
      <c r="AC39" s="6"/>
      <c r="AD39" s="6"/>
      <c r="AE39" s="7"/>
      <c r="BL39" s="12"/>
      <c r="BM39" s="12">
        <v>0</v>
      </c>
      <c r="BN39" s="7">
        <v>0</v>
      </c>
      <c r="BO39" s="6"/>
      <c r="BP39" s="6"/>
      <c r="BQ39" s="6"/>
      <c r="BR39" s="6"/>
      <c r="BS39" s="7"/>
    </row>
    <row r="40" spans="7:71" x14ac:dyDescent="0.25">
      <c r="G40" s="12">
        <v>5.2171086764122441</v>
      </c>
      <c r="H40" s="6">
        <v>0.60134118737187237</v>
      </c>
      <c r="I40" s="6">
        <v>8</v>
      </c>
      <c r="J40" s="7">
        <v>1</v>
      </c>
      <c r="K40" s="17">
        <v>7.4</v>
      </c>
      <c r="L40" s="7">
        <v>0.73333333333333339</v>
      </c>
      <c r="U40" s="12">
        <v>0.58040689307381399</v>
      </c>
      <c r="V40" s="6">
        <v>0.41691323157157373</v>
      </c>
      <c r="W40" s="7">
        <v>0.19512927122751789</v>
      </c>
      <c r="X40" s="6"/>
      <c r="Y40" s="6"/>
      <c r="Z40" s="6"/>
      <c r="AA40" s="6"/>
      <c r="AB40" s="6"/>
      <c r="AC40" s="6"/>
      <c r="AD40" s="6"/>
      <c r="AE40" s="7"/>
      <c r="BL40" s="12"/>
      <c r="BM40" s="12">
        <v>0</v>
      </c>
      <c r="BN40" s="7">
        <v>1</v>
      </c>
      <c r="BO40" s="6"/>
      <c r="BP40" s="6"/>
      <c r="BQ40" s="6"/>
      <c r="BR40" s="6"/>
      <c r="BS40" s="7"/>
    </row>
    <row r="41" spans="7:71" x14ac:dyDescent="0.25">
      <c r="G41" s="12">
        <v>5.2594073305459759</v>
      </c>
      <c r="H41" s="6">
        <v>0.66730911182821728</v>
      </c>
      <c r="I41" s="6">
        <v>2</v>
      </c>
      <c r="J41" s="7">
        <v>1</v>
      </c>
      <c r="K41" s="17">
        <v>7.6</v>
      </c>
      <c r="L41" s="7">
        <v>0.76666666666666661</v>
      </c>
      <c r="U41" s="12">
        <v>0.60134118737187237</v>
      </c>
      <c r="V41" s="6">
        <v>0.42100253888856787</v>
      </c>
      <c r="W41" s="7">
        <v>0.19554752785399576</v>
      </c>
      <c r="X41" s="6"/>
      <c r="Y41" s="6"/>
      <c r="Z41" s="6"/>
      <c r="AA41" s="6"/>
      <c r="AB41" s="6"/>
      <c r="AC41" s="6"/>
      <c r="AD41" s="6"/>
      <c r="AE41" s="7"/>
      <c r="BL41" s="12"/>
      <c r="BM41" s="12">
        <v>1</v>
      </c>
      <c r="BN41" s="7">
        <v>0</v>
      </c>
      <c r="BO41" s="6"/>
      <c r="BP41" s="6"/>
      <c r="BQ41" s="6"/>
      <c r="BR41" s="6"/>
      <c r="BS41" s="7"/>
    </row>
    <row r="42" spans="7:71" x14ac:dyDescent="0.25">
      <c r="G42" s="12">
        <v>5.3326517532883688</v>
      </c>
      <c r="H42" s="6">
        <v>0.70804310578387231</v>
      </c>
      <c r="I42" s="6">
        <v>5</v>
      </c>
      <c r="J42" s="7">
        <v>2</v>
      </c>
      <c r="K42" s="17">
        <v>7.8</v>
      </c>
      <c r="L42" s="7">
        <v>0.79999999999999993</v>
      </c>
      <c r="U42" s="12">
        <v>0.66730911182821728</v>
      </c>
      <c r="V42" s="6">
        <v>0.4339425524910242</v>
      </c>
      <c r="W42" s="7">
        <v>0.19673037999326964</v>
      </c>
      <c r="X42" s="6"/>
      <c r="Y42" s="6"/>
      <c r="Z42" s="6"/>
      <c r="AA42" s="6"/>
      <c r="AB42" s="6"/>
      <c r="AC42" s="6"/>
      <c r="AD42" s="6"/>
      <c r="AE42" s="7"/>
      <c r="BL42" s="12"/>
      <c r="BM42" s="12">
        <v>1</v>
      </c>
      <c r="BN42" s="7">
        <v>0</v>
      </c>
      <c r="BO42" s="6"/>
      <c r="BP42" s="6"/>
      <c r="BQ42" s="6"/>
      <c r="BR42" s="6"/>
      <c r="BS42" s="7"/>
    </row>
    <row r="43" spans="7:71" x14ac:dyDescent="0.25">
      <c r="G43" s="12">
        <v>5.4844508194219799</v>
      </c>
      <c r="H43" s="6">
        <v>0.7373924998100847</v>
      </c>
      <c r="I43" s="6">
        <v>4</v>
      </c>
      <c r="J43" s="7">
        <v>0</v>
      </c>
      <c r="K43" s="17">
        <v>8</v>
      </c>
      <c r="L43" s="7">
        <v>0.83333333333333337</v>
      </c>
      <c r="U43" s="12">
        <v>0.70804310578387231</v>
      </c>
      <c r="V43" s="6">
        <v>0.44196920143216134</v>
      </c>
      <c r="W43" s="7">
        <v>0.19735708688653092</v>
      </c>
      <c r="X43" s="6"/>
      <c r="Y43" s="6"/>
      <c r="Z43" s="6"/>
      <c r="AA43" s="6"/>
      <c r="AB43" s="6"/>
      <c r="AC43" s="6"/>
      <c r="AD43" s="6"/>
      <c r="AE43" s="7"/>
      <c r="BL43" s="12"/>
      <c r="BM43" s="12">
        <v>1</v>
      </c>
      <c r="BN43" s="7">
        <v>0</v>
      </c>
      <c r="BO43" s="6"/>
      <c r="BP43" s="6"/>
      <c r="BQ43" s="6"/>
      <c r="BR43" s="6"/>
      <c r="BS43" s="7"/>
    </row>
    <row r="44" spans="7:71" x14ac:dyDescent="0.25">
      <c r="G44" s="12">
        <v>5.5923032319101535</v>
      </c>
      <c r="H44" s="6">
        <v>0.84309397405013442</v>
      </c>
      <c r="I44" s="6">
        <v>2</v>
      </c>
      <c r="J44" s="7">
        <v>0</v>
      </c>
      <c r="K44" s="17">
        <v>8.1999999999999993</v>
      </c>
      <c r="L44" s="7">
        <v>0.86666666666666659</v>
      </c>
      <c r="U44" s="12">
        <v>0.7373924998100847</v>
      </c>
      <c r="V44" s="6">
        <v>0.4477675126652062</v>
      </c>
      <c r="W44" s="7">
        <v>0.19775902179319776</v>
      </c>
      <c r="X44" s="6"/>
      <c r="Y44" s="6"/>
      <c r="Z44" s="6"/>
      <c r="AA44" s="6"/>
      <c r="AB44" s="6"/>
      <c r="AC44" s="6"/>
      <c r="AD44" s="6"/>
      <c r="AE44" s="7"/>
      <c r="BL44" s="12"/>
      <c r="BM44" s="12">
        <v>0</v>
      </c>
      <c r="BN44" s="7">
        <v>1</v>
      </c>
      <c r="BO44" s="6"/>
      <c r="BP44" s="6"/>
      <c r="BQ44" s="6"/>
      <c r="BR44" s="6"/>
      <c r="BS44" s="7"/>
    </row>
    <row r="45" spans="7:71" x14ac:dyDescent="0.25">
      <c r="G45" s="12">
        <v>5.6107974486526082</v>
      </c>
      <c r="H45" s="6">
        <v>0.84723672241671011</v>
      </c>
      <c r="I45" s="6">
        <v>4</v>
      </c>
      <c r="J45" s="7">
        <v>2</v>
      </c>
      <c r="K45" s="17">
        <v>8.4</v>
      </c>
      <c r="L45" s="7">
        <v>0.9</v>
      </c>
      <c r="U45" s="12">
        <v>0.84309397405013442</v>
      </c>
      <c r="V45" s="6">
        <v>0.46873385259033951</v>
      </c>
      <c r="W45" s="7">
        <v>0.19885822379899709</v>
      </c>
      <c r="X45" s="6"/>
      <c r="Y45" s="6"/>
      <c r="Z45" s="6"/>
      <c r="AA45" s="6"/>
      <c r="AB45" s="6"/>
      <c r="AC45" s="6"/>
      <c r="AD45" s="6"/>
      <c r="AE45" s="7"/>
      <c r="BL45" s="12"/>
      <c r="BM45" s="12">
        <v>1</v>
      </c>
      <c r="BN45" s="7">
        <v>1</v>
      </c>
      <c r="BO45" s="6"/>
      <c r="BP45" s="6"/>
      <c r="BQ45" s="6"/>
      <c r="BR45" s="6"/>
      <c r="BS45" s="7"/>
    </row>
    <row r="46" spans="7:71" x14ac:dyDescent="0.25">
      <c r="G46" s="12">
        <v>5.6333201086458935</v>
      </c>
      <c r="H46" s="6">
        <v>0.91146296451915987</v>
      </c>
      <c r="I46" s="6">
        <v>5</v>
      </c>
      <c r="J46" s="7">
        <v>2</v>
      </c>
      <c r="K46" s="17">
        <v>8.6</v>
      </c>
      <c r="L46" s="7">
        <v>0.93333333333333324</v>
      </c>
      <c r="U46" s="12">
        <v>0.84723672241671011</v>
      </c>
      <c r="V46" s="6">
        <v>0.46955773852423077</v>
      </c>
      <c r="W46" s="7">
        <v>0.19889011531051165</v>
      </c>
      <c r="X46" s="6"/>
      <c r="Y46" s="6"/>
      <c r="Z46" s="6"/>
      <c r="AA46" s="6"/>
      <c r="AB46" s="6"/>
      <c r="AC46" s="6"/>
      <c r="AD46" s="6"/>
      <c r="AE46" s="7"/>
      <c r="BL46" s="12"/>
      <c r="BM46" s="12">
        <v>0</v>
      </c>
      <c r="BN46" s="7">
        <v>0</v>
      </c>
      <c r="BO46" s="6"/>
      <c r="BP46" s="6"/>
      <c r="BQ46" s="6"/>
      <c r="BR46" s="6"/>
      <c r="BS46" s="7"/>
    </row>
    <row r="47" spans="7:71" x14ac:dyDescent="0.25">
      <c r="G47" s="12">
        <v>5.7234107486190373</v>
      </c>
      <c r="H47" s="6">
        <v>0.97651457306346856</v>
      </c>
      <c r="I47" s="6">
        <v>6</v>
      </c>
      <c r="J47" s="7">
        <v>2</v>
      </c>
      <c r="K47" s="17">
        <v>8.8000000000000007</v>
      </c>
      <c r="L47" s="7">
        <v>0.96666666666666679</v>
      </c>
      <c r="U47" s="12">
        <v>0.91146296451915987</v>
      </c>
      <c r="V47" s="6">
        <v>0.48234518313321684</v>
      </c>
      <c r="W47" s="7">
        <v>0.19927578396375289</v>
      </c>
      <c r="X47" s="6"/>
      <c r="Y47" s="6"/>
      <c r="Z47" s="6"/>
      <c r="AA47" s="6"/>
      <c r="AB47" s="6"/>
      <c r="AC47" s="6"/>
      <c r="AD47" s="6"/>
      <c r="AE47" s="7"/>
      <c r="BL47" s="12"/>
      <c r="BM47" s="12">
        <v>0</v>
      </c>
      <c r="BN47" s="7">
        <v>0</v>
      </c>
      <c r="BO47" s="6"/>
      <c r="BP47" s="6"/>
      <c r="BQ47" s="6"/>
      <c r="BR47" s="6"/>
      <c r="BS47" s="7"/>
    </row>
    <row r="48" spans="7:71" x14ac:dyDescent="0.25">
      <c r="G48" s="12">
        <v>5.7237769707327493</v>
      </c>
      <c r="H48" s="6">
        <v>0.99411102180602029</v>
      </c>
      <c r="I48" s="6">
        <v>5</v>
      </c>
      <c r="J48" s="7">
        <v>2</v>
      </c>
      <c r="K48" s="17">
        <v>9</v>
      </c>
      <c r="L48" s="7">
        <v>1</v>
      </c>
      <c r="U48" s="12">
        <v>0.97651457306346856</v>
      </c>
      <c r="V48" s="6">
        <v>0.49531544277107986</v>
      </c>
      <c r="W48" s="7">
        <v>0.19945738800542692</v>
      </c>
      <c r="X48" s="6"/>
      <c r="Y48" s="6"/>
      <c r="Z48" s="6"/>
      <c r="AA48" s="6"/>
      <c r="AB48" s="6"/>
      <c r="AC48" s="6"/>
      <c r="AD48" s="6"/>
      <c r="AE48" s="7"/>
      <c r="BL48" s="12"/>
      <c r="BM48" s="12">
        <v>1</v>
      </c>
      <c r="BN48" s="7">
        <v>1</v>
      </c>
      <c r="BO48" s="6"/>
      <c r="BP48" s="6"/>
      <c r="BQ48" s="6"/>
      <c r="BR48" s="6"/>
      <c r="BS48" s="7"/>
    </row>
    <row r="49" spans="7:71" x14ac:dyDescent="0.25">
      <c r="G49" s="12">
        <v>5.7558214056825463</v>
      </c>
      <c r="H49" s="6">
        <v>1.0166005520441104</v>
      </c>
      <c r="I49" s="6">
        <v>0</v>
      </c>
      <c r="J49" s="7">
        <v>1</v>
      </c>
      <c r="K49" s="17">
        <v>9.1999999999999993</v>
      </c>
      <c r="L49" s="7">
        <v>1</v>
      </c>
      <c r="U49" s="12">
        <v>0.99411102180602029</v>
      </c>
      <c r="V49" s="6">
        <v>0.49882532050244499</v>
      </c>
      <c r="W49" s="7">
        <v>0.19947027549359783</v>
      </c>
      <c r="X49" s="6"/>
      <c r="Y49" s="6"/>
      <c r="Z49" s="6"/>
      <c r="AA49" s="6"/>
      <c r="AB49" s="6"/>
      <c r="AC49" s="6"/>
      <c r="AD49" s="6"/>
      <c r="AE49" s="7"/>
      <c r="BL49" s="12"/>
      <c r="BM49" s="12">
        <v>0</v>
      </c>
      <c r="BN49" s="7">
        <v>0</v>
      </c>
      <c r="BO49" s="6"/>
      <c r="BP49" s="6"/>
      <c r="BQ49" s="6"/>
      <c r="BR49" s="6"/>
      <c r="BS49" s="7"/>
    </row>
    <row r="50" spans="7:71" x14ac:dyDescent="0.25">
      <c r="G50" s="12">
        <v>5.7730338450270091</v>
      </c>
      <c r="H50" s="6">
        <v>1.1971488927665632</v>
      </c>
      <c r="I50" s="6">
        <v>3</v>
      </c>
      <c r="J50" s="7">
        <v>2</v>
      </c>
      <c r="K50" s="17">
        <v>9.4</v>
      </c>
      <c r="L50" s="7">
        <v>1</v>
      </c>
      <c r="U50" s="12">
        <v>1.0166005520441104</v>
      </c>
      <c r="V50" s="6">
        <v>0.50331129302246491</v>
      </c>
      <c r="W50" s="7">
        <v>0.19946426907864598</v>
      </c>
      <c r="X50" s="6"/>
      <c r="Y50" s="6"/>
      <c r="Z50" s="6"/>
      <c r="AA50" s="6"/>
      <c r="AB50" s="6"/>
      <c r="AC50" s="6"/>
      <c r="AD50" s="6"/>
      <c r="AE50" s="7"/>
      <c r="BL50" s="12"/>
      <c r="BM50" s="12">
        <v>1</v>
      </c>
      <c r="BN50" s="7">
        <v>1</v>
      </c>
      <c r="BO50" s="6"/>
      <c r="BP50" s="6"/>
      <c r="BQ50" s="6"/>
      <c r="BR50" s="6"/>
      <c r="BS50" s="7"/>
    </row>
    <row r="51" spans="7:71" x14ac:dyDescent="0.25">
      <c r="G51" s="12">
        <v>5.8270516067995235</v>
      </c>
      <c r="H51" s="6">
        <v>1.2488786776666529</v>
      </c>
      <c r="I51" s="6">
        <v>4</v>
      </c>
      <c r="J51" s="7">
        <v>2</v>
      </c>
      <c r="K51" s="17">
        <v>9.6</v>
      </c>
      <c r="L51" s="7">
        <v>1</v>
      </c>
      <c r="U51" s="12">
        <v>1.1971488927665632</v>
      </c>
      <c r="V51" s="6">
        <v>0.53926191999266404</v>
      </c>
      <c r="W51" s="7">
        <v>0.19850436791160853</v>
      </c>
      <c r="X51" s="6"/>
      <c r="Y51" s="6"/>
      <c r="Z51" s="6"/>
      <c r="AA51" s="6"/>
      <c r="AB51" s="6"/>
      <c r="AC51" s="6"/>
      <c r="AD51" s="6"/>
      <c r="AE51" s="7"/>
      <c r="BL51" s="12"/>
      <c r="BM51" s="12">
        <v>1</v>
      </c>
      <c r="BN51" s="7">
        <v>0</v>
      </c>
      <c r="BO51" s="6"/>
      <c r="BP51" s="6"/>
      <c r="BQ51" s="6"/>
      <c r="BR51" s="6"/>
      <c r="BS51" s="7"/>
    </row>
    <row r="52" spans="7:71" x14ac:dyDescent="0.25">
      <c r="G52" s="12">
        <v>5.846644489883114</v>
      </c>
      <c r="H52" s="6">
        <v>1.2504202711861581</v>
      </c>
      <c r="I52" s="6">
        <v>4</v>
      </c>
      <c r="J52" s="7">
        <v>0</v>
      </c>
      <c r="K52" s="17">
        <v>9.8000000000000007</v>
      </c>
      <c r="L52" s="7">
        <v>1</v>
      </c>
      <c r="U52" s="12">
        <v>1.2488786776666529</v>
      </c>
      <c r="V52" s="6">
        <v>0.54951628624543347</v>
      </c>
      <c r="W52" s="7">
        <v>0.19793268352546822</v>
      </c>
      <c r="X52" s="6"/>
      <c r="Y52" s="6"/>
      <c r="Z52" s="6"/>
      <c r="AA52" s="6"/>
      <c r="AB52" s="6"/>
      <c r="AC52" s="6"/>
      <c r="AD52" s="6"/>
      <c r="AE52" s="7"/>
      <c r="BL52" s="12"/>
      <c r="BM52" s="12">
        <v>0</v>
      </c>
      <c r="BN52" s="7">
        <v>1</v>
      </c>
      <c r="BO52" s="6"/>
      <c r="BP52" s="6"/>
      <c r="BQ52" s="6"/>
      <c r="BR52" s="6"/>
      <c r="BS52" s="7"/>
    </row>
    <row r="53" spans="7:71" x14ac:dyDescent="0.25">
      <c r="G53" s="12">
        <v>5.8698995941038241</v>
      </c>
      <c r="H53" s="6">
        <v>1.3392074177099857</v>
      </c>
      <c r="I53" s="6">
        <v>4</v>
      </c>
      <c r="J53" s="7">
        <v>0</v>
      </c>
      <c r="K53" s="17">
        <v>10</v>
      </c>
      <c r="L53" s="7">
        <v>1</v>
      </c>
      <c r="U53" s="12">
        <v>1.2504202711861581</v>
      </c>
      <c r="V53" s="6">
        <v>0.5498214033241825</v>
      </c>
      <c r="W53" s="7">
        <v>0.197913640446824</v>
      </c>
      <c r="X53" s="6"/>
      <c r="Y53" s="6"/>
      <c r="Z53" s="6"/>
      <c r="AA53" s="6"/>
      <c r="AB53" s="6"/>
      <c r="AC53" s="6"/>
      <c r="AD53" s="6"/>
      <c r="AE53" s="7"/>
      <c r="BL53" s="12"/>
      <c r="BM53" s="12">
        <v>1</v>
      </c>
      <c r="BN53" s="7">
        <v>0</v>
      </c>
      <c r="BO53" s="6"/>
      <c r="BP53" s="6"/>
      <c r="BQ53" s="6"/>
      <c r="BR53" s="6"/>
      <c r="BS53" s="7"/>
    </row>
    <row r="54" spans="7:71" x14ac:dyDescent="0.25">
      <c r="G54" s="12">
        <v>5.9577929013946953</v>
      </c>
      <c r="H54" s="6">
        <v>1.4286675903131254</v>
      </c>
      <c r="I54" s="6">
        <v>5</v>
      </c>
      <c r="J54" s="7">
        <v>2</v>
      </c>
      <c r="K54" s="17">
        <v>10.199999999999999</v>
      </c>
      <c r="L54" s="7">
        <v>1</v>
      </c>
      <c r="U54" s="12">
        <v>1.3392074177099857</v>
      </c>
      <c r="V54" s="6">
        <v>0.56733909721638531</v>
      </c>
      <c r="W54" s="7">
        <v>0.19662273780510695</v>
      </c>
      <c r="X54" s="6"/>
      <c r="Y54" s="6"/>
      <c r="Z54" s="6"/>
      <c r="AA54" s="6"/>
      <c r="AB54" s="6"/>
      <c r="AC54" s="6"/>
      <c r="AD54" s="6"/>
      <c r="AE54" s="7"/>
      <c r="BL54" s="12"/>
      <c r="BM54" s="12">
        <v>0</v>
      </c>
      <c r="BN54" s="7">
        <v>1</v>
      </c>
      <c r="BO54" s="6"/>
      <c r="BP54" s="6"/>
      <c r="BQ54" s="6"/>
      <c r="BR54" s="6"/>
      <c r="BS54" s="7"/>
    </row>
    <row r="55" spans="7:71" x14ac:dyDescent="0.25">
      <c r="G55" s="12">
        <v>6.0136417737357712</v>
      </c>
      <c r="H55" s="6">
        <v>1.545308012078749</v>
      </c>
      <c r="I55" s="6">
        <v>4</v>
      </c>
      <c r="J55" s="7">
        <v>1</v>
      </c>
      <c r="K55" s="17">
        <v>10.4</v>
      </c>
      <c r="L55" s="7">
        <v>1</v>
      </c>
      <c r="U55" s="12">
        <v>1.4286675903131254</v>
      </c>
      <c r="V55" s="6">
        <v>0.58485661719342485</v>
      </c>
      <c r="W55" s="7">
        <v>0.19494160990603429</v>
      </c>
      <c r="X55" s="6"/>
      <c r="Y55" s="6"/>
      <c r="Z55" s="6"/>
      <c r="AA55" s="6"/>
      <c r="AB55" s="6"/>
      <c r="AC55" s="6"/>
      <c r="AD55" s="6"/>
      <c r="AE55" s="7"/>
      <c r="BL55" s="12"/>
      <c r="BM55" s="12">
        <v>1</v>
      </c>
      <c r="BN55" s="7">
        <v>1</v>
      </c>
      <c r="BO55" s="6"/>
      <c r="BP55" s="6"/>
      <c r="BQ55" s="6"/>
      <c r="BR55" s="6"/>
      <c r="BS55" s="7"/>
    </row>
    <row r="56" spans="7:71" x14ac:dyDescent="0.25">
      <c r="G56" s="12">
        <v>6.0577715384380628</v>
      </c>
      <c r="H56" s="6">
        <v>1.5530932867259253</v>
      </c>
      <c r="I56" s="6">
        <v>3</v>
      </c>
      <c r="J56" s="7">
        <v>1</v>
      </c>
      <c r="K56" s="17">
        <v>10.6</v>
      </c>
      <c r="L56" s="7">
        <v>1</v>
      </c>
      <c r="U56" s="12">
        <v>1.545308012078749</v>
      </c>
      <c r="V56" s="6">
        <v>0.60744040333572968</v>
      </c>
      <c r="W56" s="7">
        <v>0.19219288203876247</v>
      </c>
      <c r="X56" s="6"/>
      <c r="Y56" s="6"/>
      <c r="Z56" s="6"/>
      <c r="AA56" s="6"/>
      <c r="AB56" s="6"/>
      <c r="AC56" s="6"/>
      <c r="AD56" s="6"/>
      <c r="AE56" s="7"/>
      <c r="BL56" s="12"/>
      <c r="BM56" s="12">
        <v>0</v>
      </c>
      <c r="BN56" s="7">
        <v>1</v>
      </c>
      <c r="BO56" s="6"/>
      <c r="BP56" s="6"/>
      <c r="BQ56" s="6"/>
      <c r="BR56" s="6"/>
      <c r="BS56" s="7"/>
    </row>
    <row r="57" spans="7:71" x14ac:dyDescent="0.25">
      <c r="G57" s="12">
        <v>6.1158177434614096</v>
      </c>
      <c r="H57" s="6">
        <v>1.5626361598842777</v>
      </c>
      <c r="I57" s="6">
        <v>3</v>
      </c>
      <c r="J57" s="7">
        <v>0</v>
      </c>
      <c r="K57" s="17">
        <v>10.8</v>
      </c>
      <c r="L57" s="7">
        <v>1</v>
      </c>
      <c r="U57" s="12">
        <v>1.5530932867259253</v>
      </c>
      <c r="V57" s="6">
        <v>0.60893588018245448</v>
      </c>
      <c r="W57" s="7">
        <v>0.19198755308418855</v>
      </c>
      <c r="X57" s="6"/>
      <c r="Y57" s="6"/>
      <c r="Z57" s="6"/>
      <c r="AA57" s="6"/>
      <c r="AB57" s="6"/>
      <c r="AC57" s="6"/>
      <c r="AD57" s="6"/>
      <c r="AE57" s="7"/>
      <c r="BL57" s="12"/>
      <c r="BM57" s="12">
        <v>0</v>
      </c>
      <c r="BN57" s="7">
        <v>0</v>
      </c>
      <c r="BO57" s="6"/>
      <c r="BP57" s="6"/>
      <c r="BQ57" s="6"/>
      <c r="BR57" s="6"/>
      <c r="BS57" s="7"/>
    </row>
    <row r="58" spans="7:71" x14ac:dyDescent="0.25">
      <c r="G58" s="12">
        <v>6.1163670766319775</v>
      </c>
      <c r="H58" s="6">
        <v>1.5824017534905579</v>
      </c>
      <c r="I58" s="6">
        <v>3</v>
      </c>
      <c r="J58" s="7">
        <v>1</v>
      </c>
      <c r="K58" s="18">
        <v>11</v>
      </c>
      <c r="L58" s="11">
        <v>1</v>
      </c>
      <c r="U58" s="12">
        <v>1.5626361598842777</v>
      </c>
      <c r="V58" s="6">
        <v>0.61076677787691946</v>
      </c>
      <c r="W58" s="7">
        <v>0.19173220525970872</v>
      </c>
      <c r="X58" s="6"/>
      <c r="Y58" s="6"/>
      <c r="Z58" s="6"/>
      <c r="AA58" s="6"/>
      <c r="AB58" s="6"/>
      <c r="AC58" s="6"/>
      <c r="AD58" s="6"/>
      <c r="AE58" s="7"/>
      <c r="BL58" s="12"/>
      <c r="BM58" s="12">
        <v>1</v>
      </c>
      <c r="BN58" s="7">
        <v>0</v>
      </c>
      <c r="BO58" s="6"/>
      <c r="BP58" s="6"/>
      <c r="BQ58" s="6"/>
      <c r="BR58" s="6"/>
      <c r="BS58" s="7"/>
    </row>
    <row r="59" spans="7:71" x14ac:dyDescent="0.25">
      <c r="G59" s="12">
        <v>6.1224097415082248</v>
      </c>
      <c r="H59" s="6">
        <v>1.7745074981357902</v>
      </c>
      <c r="I59" s="6">
        <v>7</v>
      </c>
      <c r="J59" s="7">
        <v>0</v>
      </c>
      <c r="U59" s="12">
        <v>1.5824017534905579</v>
      </c>
      <c r="V59" s="6">
        <v>0.61455115396463111</v>
      </c>
      <c r="W59" s="7">
        <v>0.1911905529059513</v>
      </c>
      <c r="X59" s="6"/>
      <c r="Y59" s="6"/>
      <c r="Z59" s="6"/>
      <c r="AA59" s="6"/>
      <c r="AB59" s="6"/>
      <c r="AC59" s="6"/>
      <c r="AD59" s="6"/>
      <c r="AE59" s="7"/>
      <c r="BL59" s="12"/>
      <c r="BM59" s="12">
        <v>0</v>
      </c>
      <c r="BN59" s="7">
        <v>1</v>
      </c>
      <c r="BO59" s="6"/>
      <c r="BP59" s="6"/>
      <c r="BQ59" s="6"/>
      <c r="BR59" s="6"/>
      <c r="BS59" s="7"/>
    </row>
    <row r="60" spans="7:71" x14ac:dyDescent="0.25">
      <c r="G60" s="12">
        <v>6.161046174504837</v>
      </c>
      <c r="H60" s="6">
        <v>1.8712572707736399</v>
      </c>
      <c r="I60" s="6">
        <v>3</v>
      </c>
      <c r="J60" s="7">
        <v>0</v>
      </c>
      <c r="U60" s="12">
        <v>1.7745074981357902</v>
      </c>
      <c r="V60" s="6">
        <v>0.65071581887483132</v>
      </c>
      <c r="W60" s="7">
        <v>0.18506124644123334</v>
      </c>
      <c r="X60" s="6"/>
      <c r="Y60" s="6"/>
      <c r="Z60" s="6"/>
      <c r="AA60" s="6"/>
      <c r="AB60" s="6"/>
      <c r="AC60" s="6"/>
      <c r="AD60" s="6"/>
      <c r="AE60" s="7"/>
      <c r="BL60" s="12"/>
      <c r="BM60" s="12">
        <v>0</v>
      </c>
      <c r="BN60" s="7">
        <v>1</v>
      </c>
      <c r="BO60" s="6"/>
      <c r="BP60" s="6"/>
      <c r="BQ60" s="6"/>
      <c r="BR60" s="6"/>
      <c r="BS60" s="7"/>
    </row>
    <row r="61" spans="7:71" x14ac:dyDescent="0.25">
      <c r="G61" s="12">
        <v>6.3276772362437814</v>
      </c>
      <c r="H61" s="6">
        <v>1.8892948244465515</v>
      </c>
      <c r="I61" s="6">
        <v>5</v>
      </c>
      <c r="J61" s="7">
        <v>3</v>
      </c>
      <c r="U61" s="12">
        <v>1.8712572707736399</v>
      </c>
      <c r="V61" s="6">
        <v>0.66844690440743926</v>
      </c>
      <c r="W61" s="7">
        <v>0.18141430822659413</v>
      </c>
      <c r="X61" s="6"/>
      <c r="Y61" s="6"/>
      <c r="Z61" s="6"/>
      <c r="AA61" s="6"/>
      <c r="AB61" s="6"/>
      <c r="AC61" s="6"/>
      <c r="AD61" s="6"/>
      <c r="AE61" s="7"/>
      <c r="BL61" s="12"/>
      <c r="BM61" s="12">
        <v>0</v>
      </c>
      <c r="BN61" s="7">
        <v>1</v>
      </c>
      <c r="BO61" s="6"/>
      <c r="BP61" s="6"/>
      <c r="BQ61" s="6"/>
      <c r="BR61" s="6"/>
      <c r="BS61" s="7"/>
    </row>
    <row r="62" spans="7:71" x14ac:dyDescent="0.25">
      <c r="G62" s="12">
        <v>6.4157536545915104</v>
      </c>
      <c r="H62" s="6">
        <v>1.9048585525306407</v>
      </c>
      <c r="I62" s="6">
        <v>5</v>
      </c>
      <c r="J62" s="7">
        <v>0</v>
      </c>
      <c r="U62" s="12">
        <v>1.8892948244465515</v>
      </c>
      <c r="V62" s="6">
        <v>0.6717127108009705</v>
      </c>
      <c r="W62" s="7">
        <v>0.18069561031199766</v>
      </c>
      <c r="X62" s="6"/>
      <c r="Y62" s="6"/>
      <c r="Z62" s="6"/>
      <c r="AA62" s="6"/>
      <c r="AB62" s="6"/>
      <c r="AC62" s="6"/>
      <c r="AD62" s="6"/>
      <c r="AE62" s="7"/>
      <c r="BL62" s="12"/>
      <c r="BM62" s="12">
        <v>0</v>
      </c>
      <c r="BN62" s="7">
        <v>0</v>
      </c>
      <c r="BO62" s="6"/>
      <c r="BP62" s="6"/>
      <c r="BQ62" s="6"/>
      <c r="BR62" s="6"/>
      <c r="BS62" s="7"/>
    </row>
    <row r="63" spans="7:71" x14ac:dyDescent="0.25">
      <c r="G63" s="12">
        <v>6.4534745323038418</v>
      </c>
      <c r="H63" s="6">
        <v>1.9097766451304778</v>
      </c>
      <c r="I63" s="6">
        <v>2</v>
      </c>
      <c r="J63" s="7">
        <v>1</v>
      </c>
      <c r="U63" s="12">
        <v>1.9048585525306407</v>
      </c>
      <c r="V63" s="6">
        <v>0.6745201199069254</v>
      </c>
      <c r="W63" s="7">
        <v>0.18006599817331254</v>
      </c>
      <c r="X63" s="6"/>
      <c r="Y63" s="6"/>
      <c r="Z63" s="6"/>
      <c r="AA63" s="6"/>
      <c r="AB63" s="6"/>
      <c r="AC63" s="6"/>
      <c r="AD63" s="6"/>
      <c r="AE63" s="7"/>
      <c r="BL63" s="12"/>
      <c r="BM63" s="12">
        <v>0</v>
      </c>
      <c r="BN63" s="7">
        <v>0</v>
      </c>
      <c r="BO63" s="6"/>
      <c r="BP63" s="6"/>
      <c r="BQ63" s="6"/>
      <c r="BR63" s="6"/>
      <c r="BS63" s="7"/>
    </row>
    <row r="64" spans="7:71" x14ac:dyDescent="0.25">
      <c r="G64" s="12">
        <v>6.6140629291665398</v>
      </c>
      <c r="H64" s="6">
        <v>1.9651057553128339</v>
      </c>
      <c r="I64" s="6">
        <v>1</v>
      </c>
      <c r="J64" s="7">
        <v>0</v>
      </c>
      <c r="U64" s="12">
        <v>1.9097766451304778</v>
      </c>
      <c r="V64" s="6">
        <v>0.67540520782660929</v>
      </c>
      <c r="W64" s="7">
        <v>0.17986523431296891</v>
      </c>
      <c r="X64" s="6"/>
      <c r="Y64" s="6"/>
      <c r="Z64" s="6"/>
      <c r="AA64" s="6"/>
      <c r="AB64" s="6"/>
      <c r="AC64" s="6"/>
      <c r="AD64" s="6"/>
      <c r="AE64" s="7"/>
      <c r="BL64" s="12"/>
      <c r="BM64" s="12">
        <v>0</v>
      </c>
      <c r="BN64" s="7">
        <v>1</v>
      </c>
      <c r="BO64" s="6"/>
      <c r="BP64" s="6"/>
      <c r="BQ64" s="6"/>
      <c r="BR64" s="6"/>
      <c r="BS64" s="7"/>
    </row>
    <row r="65" spans="7:71" x14ac:dyDescent="0.25">
      <c r="G65" s="12">
        <v>6.6631366924039428</v>
      </c>
      <c r="H65" s="6">
        <v>1.9702625902718864</v>
      </c>
      <c r="I65" s="6">
        <v>4</v>
      </c>
      <c r="J65" s="7">
        <v>0</v>
      </c>
      <c r="U65" s="12">
        <v>1.9651057553128339</v>
      </c>
      <c r="V65" s="6">
        <v>0.68529337767699838</v>
      </c>
      <c r="W65" s="7">
        <v>0.17754798765281113</v>
      </c>
      <c r="X65" s="6"/>
      <c r="Y65" s="6"/>
      <c r="Z65" s="6"/>
      <c r="AA65" s="6"/>
      <c r="AB65" s="6"/>
      <c r="AC65" s="6"/>
      <c r="AD65" s="6"/>
      <c r="AE65" s="7"/>
      <c r="BL65" s="12"/>
      <c r="BM65" s="12">
        <v>1</v>
      </c>
      <c r="BN65" s="7">
        <v>1</v>
      </c>
      <c r="BO65" s="6"/>
      <c r="BP65" s="6"/>
      <c r="BQ65" s="6"/>
      <c r="BR65" s="6"/>
      <c r="BS65" s="7"/>
    </row>
    <row r="66" spans="7:71" x14ac:dyDescent="0.25">
      <c r="G66" s="12">
        <v>6.710745567186498</v>
      </c>
      <c r="H66" s="6">
        <v>2.1634642760327552</v>
      </c>
      <c r="I66" s="6">
        <v>4</v>
      </c>
      <c r="J66" s="7">
        <v>0</v>
      </c>
      <c r="U66" s="12">
        <v>1.9702625902718864</v>
      </c>
      <c r="V66" s="6">
        <v>0.68620839297296843</v>
      </c>
      <c r="W66" s="7">
        <v>0.17732662632050644</v>
      </c>
      <c r="X66" s="6"/>
      <c r="Y66" s="6"/>
      <c r="Z66" s="6"/>
      <c r="AA66" s="6"/>
      <c r="AB66" s="6"/>
      <c r="AC66" s="6"/>
      <c r="AD66" s="6"/>
      <c r="AE66" s="7"/>
      <c r="BL66" s="12"/>
      <c r="BM66" s="12">
        <v>0</v>
      </c>
      <c r="BN66" s="7">
        <v>0</v>
      </c>
      <c r="BO66" s="6"/>
      <c r="BP66" s="6"/>
      <c r="BQ66" s="6"/>
      <c r="BR66" s="6"/>
      <c r="BS66" s="7"/>
    </row>
    <row r="67" spans="7:71" x14ac:dyDescent="0.25">
      <c r="G67" s="12">
        <v>6.7676931058687098</v>
      </c>
      <c r="H67" s="6">
        <v>2.167634309240384</v>
      </c>
      <c r="I67" s="6">
        <v>3</v>
      </c>
      <c r="J67" s="7">
        <v>2</v>
      </c>
      <c r="U67" s="12">
        <v>2.1634642760327552</v>
      </c>
      <c r="V67" s="6">
        <v>0.71962643973078932</v>
      </c>
      <c r="W67" s="7">
        <v>0.16842043206776874</v>
      </c>
      <c r="X67" s="6"/>
      <c r="Y67" s="6"/>
      <c r="Z67" s="6"/>
      <c r="AA67" s="6"/>
      <c r="AB67" s="6"/>
      <c r="AC67" s="6"/>
      <c r="AD67" s="6"/>
      <c r="AE67" s="7"/>
      <c r="BL67" s="12"/>
      <c r="BM67" s="12">
        <v>1</v>
      </c>
      <c r="BN67" s="7">
        <v>1</v>
      </c>
      <c r="BO67" s="6"/>
      <c r="BP67" s="6"/>
      <c r="BQ67" s="6"/>
      <c r="BR67" s="6"/>
      <c r="BS67" s="7"/>
    </row>
    <row r="68" spans="7:71" x14ac:dyDescent="0.25">
      <c r="G68" s="12">
        <v>6.798272652363659</v>
      </c>
      <c r="H68" s="6">
        <v>2.2050304576405324</v>
      </c>
      <c r="I68" s="6">
        <v>4</v>
      </c>
      <c r="J68" s="7">
        <v>2</v>
      </c>
      <c r="U68" s="12">
        <v>2.167634309240384</v>
      </c>
      <c r="V68" s="6">
        <v>0.72032833226044157</v>
      </c>
      <c r="W68" s="7">
        <v>0.16821590955650126</v>
      </c>
      <c r="X68" s="6"/>
      <c r="Y68" s="6"/>
      <c r="Z68" s="6"/>
      <c r="AA68" s="6"/>
      <c r="AB68" s="6"/>
      <c r="AC68" s="6"/>
      <c r="AD68" s="6"/>
      <c r="AE68" s="7"/>
      <c r="BL68" s="12"/>
      <c r="BM68" s="12">
        <v>1</v>
      </c>
      <c r="BN68" s="7">
        <v>1</v>
      </c>
      <c r="BO68" s="6"/>
      <c r="BP68" s="6"/>
      <c r="BQ68" s="6"/>
      <c r="BR68" s="6"/>
      <c r="BS68" s="7"/>
    </row>
    <row r="69" spans="7:71" x14ac:dyDescent="0.25">
      <c r="G69" s="12">
        <v>6.895870845667897</v>
      </c>
      <c r="H69" s="6">
        <v>2.2178998076706193</v>
      </c>
      <c r="I69" s="6">
        <v>1</v>
      </c>
      <c r="J69" s="7">
        <v>0</v>
      </c>
      <c r="U69" s="12">
        <v>2.2050304576405324</v>
      </c>
      <c r="V69" s="6">
        <v>0.72658438537879566</v>
      </c>
      <c r="W69" s="7">
        <v>0.16636052401197396</v>
      </c>
      <c r="X69" s="6"/>
      <c r="Y69" s="6"/>
      <c r="Z69" s="6"/>
      <c r="AA69" s="6"/>
      <c r="AB69" s="6"/>
      <c r="AC69" s="6"/>
      <c r="AD69" s="6"/>
      <c r="AE69" s="7"/>
      <c r="BL69" s="12"/>
      <c r="BM69" s="12">
        <v>0</v>
      </c>
      <c r="BN69" s="7">
        <v>0</v>
      </c>
      <c r="BO69" s="6"/>
      <c r="BP69" s="6"/>
      <c r="BQ69" s="6"/>
      <c r="BR69" s="6"/>
      <c r="BS69" s="7"/>
    </row>
    <row r="70" spans="7:71" x14ac:dyDescent="0.25">
      <c r="G70" s="12">
        <v>6.9123508407849359</v>
      </c>
      <c r="H70" s="6">
        <v>2.3410681276582181</v>
      </c>
      <c r="I70" s="6">
        <v>2</v>
      </c>
      <c r="J70" s="7">
        <v>0</v>
      </c>
      <c r="U70" s="12">
        <v>2.2178998076706193</v>
      </c>
      <c r="V70" s="6">
        <v>0.7287211775963216</v>
      </c>
      <c r="W70" s="7">
        <v>0.16571336392813665</v>
      </c>
      <c r="X70" s="6"/>
      <c r="Y70" s="6"/>
      <c r="Z70" s="6"/>
      <c r="AA70" s="6"/>
      <c r="AB70" s="6"/>
      <c r="AC70" s="6"/>
      <c r="AD70" s="6"/>
      <c r="AE70" s="7"/>
      <c r="BL70" s="12"/>
      <c r="BM70" s="12">
        <v>0</v>
      </c>
      <c r="BN70" s="7">
        <v>1</v>
      </c>
      <c r="BO70" s="6"/>
      <c r="BP70" s="6"/>
      <c r="BQ70" s="6"/>
      <c r="BR70" s="6"/>
      <c r="BS70" s="7"/>
    </row>
    <row r="71" spans="7:71" x14ac:dyDescent="0.25">
      <c r="G71" s="12">
        <v>6.9279152806176949</v>
      </c>
      <c r="H71" s="6">
        <v>2.3771068552159704</v>
      </c>
      <c r="I71" s="6">
        <v>3</v>
      </c>
      <c r="J71" s="7">
        <v>1</v>
      </c>
      <c r="U71" s="12">
        <v>2.3410681276582181</v>
      </c>
      <c r="V71" s="6">
        <v>0.74874130042152087</v>
      </c>
      <c r="W71" s="7">
        <v>0.15931153101710083</v>
      </c>
      <c r="X71" s="6"/>
      <c r="Y71" s="6"/>
      <c r="Z71" s="6"/>
      <c r="AA71" s="6"/>
      <c r="AB71" s="6"/>
      <c r="AC71" s="6"/>
      <c r="AD71" s="6"/>
      <c r="AE71" s="7"/>
      <c r="BL71" s="12"/>
      <c r="BM71" s="12">
        <v>1</v>
      </c>
      <c r="BN71" s="7">
        <v>0</v>
      </c>
      <c r="BO71" s="6"/>
      <c r="BP71" s="6"/>
      <c r="BQ71" s="6"/>
      <c r="BR71" s="6"/>
      <c r="BS71" s="7"/>
    </row>
    <row r="72" spans="7:71" x14ac:dyDescent="0.25">
      <c r="G72" s="12">
        <v>6.935605945005646</v>
      </c>
      <c r="H72" s="6">
        <v>2.4679426385555416</v>
      </c>
      <c r="I72" s="6">
        <v>2</v>
      </c>
      <c r="J72" s="7">
        <v>3</v>
      </c>
      <c r="U72" s="12">
        <v>2.3771068552159704</v>
      </c>
      <c r="V72" s="6">
        <v>0.75444783125474713</v>
      </c>
      <c r="W72" s="7">
        <v>0.15737266481116638</v>
      </c>
      <c r="X72" s="6"/>
      <c r="Y72" s="6"/>
      <c r="Z72" s="6"/>
      <c r="AA72" s="6"/>
      <c r="AB72" s="6"/>
      <c r="AC72" s="6"/>
      <c r="AD72" s="6"/>
      <c r="AE72" s="7"/>
      <c r="BL72" s="12"/>
      <c r="BM72" s="12">
        <v>1</v>
      </c>
      <c r="BN72" s="7">
        <v>1</v>
      </c>
      <c r="BO72" s="6"/>
      <c r="BP72" s="6"/>
      <c r="BQ72" s="6"/>
      <c r="BR72" s="6"/>
      <c r="BS72" s="7"/>
    </row>
    <row r="73" spans="7:71" x14ac:dyDescent="0.25">
      <c r="G73" s="12">
        <v>7.1104770043031094</v>
      </c>
      <c r="H73" s="6">
        <v>2.4922898117220029</v>
      </c>
      <c r="I73" s="6">
        <v>6</v>
      </c>
      <c r="J73" s="7">
        <v>0</v>
      </c>
      <c r="U73" s="12">
        <v>2.4679426385555416</v>
      </c>
      <c r="V73" s="6">
        <v>0.76851689087959696</v>
      </c>
      <c r="W73" s="7">
        <v>0.15237012844416709</v>
      </c>
      <c r="X73" s="6"/>
      <c r="Y73" s="6"/>
      <c r="Z73" s="6"/>
      <c r="AA73" s="6"/>
      <c r="AB73" s="6"/>
      <c r="AC73" s="6"/>
      <c r="AD73" s="6"/>
      <c r="AE73" s="7"/>
      <c r="BL73" s="12"/>
      <c r="BM73" s="12">
        <v>0</v>
      </c>
      <c r="BN73" s="7">
        <v>0</v>
      </c>
      <c r="BO73" s="6"/>
      <c r="BP73" s="6"/>
      <c r="BQ73" s="6"/>
      <c r="BR73" s="6"/>
      <c r="BS73" s="7"/>
    </row>
    <row r="74" spans="7:71" x14ac:dyDescent="0.25">
      <c r="G74" s="12">
        <v>7.1172521134067814</v>
      </c>
      <c r="H74" s="6">
        <v>2.5046452972455882</v>
      </c>
      <c r="I74" s="6">
        <v>3</v>
      </c>
      <c r="J74" s="7">
        <v>0</v>
      </c>
      <c r="U74" s="12">
        <v>2.4922898117220029</v>
      </c>
      <c r="V74" s="6">
        <v>0.77221005745045646</v>
      </c>
      <c r="W74" s="7">
        <v>0.15100356637996187</v>
      </c>
      <c r="X74" s="6"/>
      <c r="Y74" s="6"/>
      <c r="Z74" s="6"/>
      <c r="AA74" s="6"/>
      <c r="AB74" s="6"/>
      <c r="AC74" s="6"/>
      <c r="AD74" s="6"/>
      <c r="AE74" s="7"/>
      <c r="BL74" s="12"/>
      <c r="BM74" s="12">
        <v>0</v>
      </c>
      <c r="BN74" s="7">
        <v>0</v>
      </c>
      <c r="BO74" s="6"/>
      <c r="BP74" s="6"/>
      <c r="BQ74" s="6"/>
      <c r="BR74" s="6"/>
      <c r="BS74" s="7"/>
    </row>
    <row r="75" spans="7:71" x14ac:dyDescent="0.25">
      <c r="G75" s="12">
        <v>7.1463667714468828</v>
      </c>
      <c r="H75" s="6">
        <v>2.5099294614628889</v>
      </c>
      <c r="I75" s="6">
        <v>7</v>
      </c>
      <c r="J75" s="7">
        <v>1</v>
      </c>
      <c r="U75" s="12">
        <v>2.5046452972455882</v>
      </c>
      <c r="V75" s="6">
        <v>0.77407147458632453</v>
      </c>
      <c r="W75" s="7">
        <v>0.15030625030182768</v>
      </c>
      <c r="X75" s="6"/>
      <c r="Y75" s="6"/>
      <c r="Z75" s="6"/>
      <c r="AA75" s="6"/>
      <c r="AB75" s="6"/>
      <c r="AC75" s="6"/>
      <c r="AD75" s="6"/>
      <c r="AE75" s="7"/>
      <c r="BL75" s="12"/>
      <c r="BM75" s="12">
        <v>0</v>
      </c>
      <c r="BN75" s="7">
        <v>1</v>
      </c>
      <c r="BO75" s="6"/>
      <c r="BP75" s="6"/>
      <c r="BQ75" s="6"/>
      <c r="BR75" s="6"/>
      <c r="BS75" s="7"/>
    </row>
    <row r="76" spans="7:71" x14ac:dyDescent="0.25">
      <c r="G76" s="12">
        <v>7.2007507553331092</v>
      </c>
      <c r="H76" s="6">
        <v>2.5453633750439622</v>
      </c>
      <c r="I76" s="6">
        <v>4</v>
      </c>
      <c r="J76" s="7">
        <v>2</v>
      </c>
      <c r="U76" s="12">
        <v>2.5099294614628889</v>
      </c>
      <c r="V76" s="6">
        <v>0.7748649277382722</v>
      </c>
      <c r="W76" s="7">
        <v>0.15000725999524542</v>
      </c>
      <c r="X76" s="6"/>
      <c r="Y76" s="6"/>
      <c r="Z76" s="6"/>
      <c r="AA76" s="6"/>
      <c r="AB76" s="6"/>
      <c r="AC76" s="6"/>
      <c r="AD76" s="6"/>
      <c r="AE76" s="7"/>
      <c r="BL76" s="12"/>
      <c r="BM76" s="12">
        <v>1</v>
      </c>
      <c r="BN76" s="7">
        <v>1</v>
      </c>
      <c r="BO76" s="6"/>
      <c r="BP76" s="6"/>
      <c r="BQ76" s="6"/>
      <c r="BR76" s="6"/>
      <c r="BS76" s="7"/>
    </row>
    <row r="77" spans="7:71" x14ac:dyDescent="0.25">
      <c r="G77" s="12">
        <v>7.2847987304300057</v>
      </c>
      <c r="H77" s="6">
        <v>2.5662772057112306</v>
      </c>
      <c r="I77" s="6">
        <v>5</v>
      </c>
      <c r="J77" s="7">
        <v>0</v>
      </c>
      <c r="U77" s="12">
        <v>2.5453633750439622</v>
      </c>
      <c r="V77" s="6">
        <v>0.78014460653987927</v>
      </c>
      <c r="W77" s="7">
        <v>0.14799094213513947</v>
      </c>
      <c r="X77" s="6"/>
      <c r="Y77" s="6"/>
      <c r="Z77" s="6"/>
      <c r="AA77" s="6"/>
      <c r="AB77" s="6"/>
      <c r="AC77" s="6"/>
      <c r="AD77" s="6"/>
      <c r="AE77" s="7"/>
      <c r="BL77" s="12"/>
      <c r="BM77" s="12">
        <v>0</v>
      </c>
      <c r="BN77" s="7">
        <v>0</v>
      </c>
      <c r="BO77" s="6"/>
      <c r="BP77" s="6"/>
      <c r="BQ77" s="6"/>
      <c r="BR77" s="6"/>
      <c r="BS77" s="7"/>
    </row>
    <row r="78" spans="7:71" x14ac:dyDescent="0.25">
      <c r="G78" s="12">
        <v>7.2943205053865166</v>
      </c>
      <c r="H78" s="6">
        <v>2.6411877368227579</v>
      </c>
      <c r="I78" s="6">
        <v>6</v>
      </c>
      <c r="J78" s="7">
        <v>0</v>
      </c>
      <c r="U78" s="12">
        <v>2.5662772057112306</v>
      </c>
      <c r="V78" s="6">
        <v>0.78322713776172703</v>
      </c>
      <c r="W78" s="7">
        <v>0.14679198690520651</v>
      </c>
      <c r="X78" s="6"/>
      <c r="Y78" s="6"/>
      <c r="Z78" s="6"/>
      <c r="AA78" s="6"/>
      <c r="AB78" s="6"/>
      <c r="AC78" s="6"/>
      <c r="AD78" s="6"/>
      <c r="AE78" s="7"/>
      <c r="BL78" s="12"/>
      <c r="BM78" s="12">
        <v>1</v>
      </c>
      <c r="BN78" s="7">
        <v>0</v>
      </c>
      <c r="BO78" s="6"/>
      <c r="BP78" s="6"/>
      <c r="BQ78" s="6"/>
      <c r="BR78" s="6"/>
      <c r="BS78" s="7"/>
    </row>
    <row r="79" spans="7:71" x14ac:dyDescent="0.25">
      <c r="G79" s="12">
        <v>7.3038422803430283</v>
      </c>
      <c r="H79" s="6">
        <v>2.7633919924264774</v>
      </c>
      <c r="I79" s="6">
        <v>2</v>
      </c>
      <c r="J79" s="7">
        <v>1</v>
      </c>
      <c r="U79" s="12">
        <v>2.6411877368227579</v>
      </c>
      <c r="V79" s="6">
        <v>0.79406117928445208</v>
      </c>
      <c r="W79" s="7">
        <v>0.1424487686442209</v>
      </c>
      <c r="X79" s="6"/>
      <c r="Y79" s="6"/>
      <c r="Z79" s="6"/>
      <c r="AA79" s="6"/>
      <c r="AB79" s="6"/>
      <c r="AC79" s="6"/>
      <c r="AD79" s="6"/>
      <c r="AE79" s="7"/>
      <c r="BL79" s="12"/>
      <c r="BM79" s="12">
        <v>1</v>
      </c>
      <c r="BN79" s="7">
        <v>1</v>
      </c>
      <c r="BO79" s="6"/>
      <c r="BP79" s="6"/>
      <c r="BQ79" s="6"/>
      <c r="BR79" s="6"/>
      <c r="BS79" s="7"/>
    </row>
    <row r="80" spans="7:71" x14ac:dyDescent="0.25">
      <c r="G80" s="12">
        <v>7.3047578356273082</v>
      </c>
      <c r="H80" s="6">
        <v>2.8200717022409663</v>
      </c>
      <c r="I80" s="6">
        <v>2</v>
      </c>
      <c r="J80" s="7">
        <v>0</v>
      </c>
      <c r="U80" s="12">
        <v>2.7633919924264774</v>
      </c>
      <c r="V80" s="6">
        <v>0.81102938663410717</v>
      </c>
      <c r="W80" s="7">
        <v>0.13522981309374577</v>
      </c>
      <c r="X80" s="6"/>
      <c r="Y80" s="6"/>
      <c r="Z80" s="6"/>
      <c r="AA80" s="6"/>
      <c r="AB80" s="6"/>
      <c r="AC80" s="6"/>
      <c r="AD80" s="6"/>
      <c r="AE80" s="7"/>
      <c r="BL80" s="12"/>
      <c r="BM80" s="12">
        <v>1</v>
      </c>
      <c r="BN80" s="7">
        <v>1</v>
      </c>
      <c r="BO80" s="6"/>
      <c r="BP80" s="6"/>
      <c r="BQ80" s="6"/>
      <c r="BR80" s="6"/>
      <c r="BS80" s="7"/>
    </row>
    <row r="81" spans="7:71" x14ac:dyDescent="0.25">
      <c r="G81" s="12">
        <v>7.3258156071657465</v>
      </c>
      <c r="H81" s="6">
        <v>2.8216906028101221</v>
      </c>
      <c r="I81" s="6">
        <v>2</v>
      </c>
      <c r="J81" s="7">
        <v>1</v>
      </c>
      <c r="U81" s="12">
        <v>2.8200717022409663</v>
      </c>
      <c r="V81" s="6">
        <v>0.81859819846576209</v>
      </c>
      <c r="W81" s="7">
        <v>0.13183971969449171</v>
      </c>
      <c r="X81" s="6"/>
      <c r="Y81" s="6"/>
      <c r="Z81" s="6"/>
      <c r="AA81" s="6"/>
      <c r="AB81" s="6"/>
      <c r="AC81" s="6"/>
      <c r="AD81" s="6"/>
      <c r="AE81" s="7"/>
      <c r="BL81" s="12"/>
      <c r="BM81" s="12">
        <v>0</v>
      </c>
      <c r="BN81" s="7">
        <v>0</v>
      </c>
      <c r="BO81" s="6"/>
      <c r="BP81" s="6"/>
      <c r="BQ81" s="6"/>
      <c r="BR81" s="6"/>
      <c r="BS81" s="7"/>
    </row>
    <row r="82" spans="7:71" x14ac:dyDescent="0.25">
      <c r="G82" s="12">
        <v>7.4413586840418713</v>
      </c>
      <c r="H82" s="6">
        <v>2.8468517737346701</v>
      </c>
      <c r="I82" s="6">
        <v>4</v>
      </c>
      <c r="J82" s="7">
        <v>2</v>
      </c>
      <c r="U82" s="12">
        <v>2.8216906028101221</v>
      </c>
      <c r="V82" s="6">
        <v>0.81881155524768912</v>
      </c>
      <c r="W82" s="7">
        <v>0.13174259536405117</v>
      </c>
      <c r="X82" s="6"/>
      <c r="Y82" s="6"/>
      <c r="Z82" s="6"/>
      <c r="AA82" s="6"/>
      <c r="AB82" s="6"/>
      <c r="AC82" s="6"/>
      <c r="AD82" s="6"/>
      <c r="AE82" s="7"/>
      <c r="BL82" s="12"/>
      <c r="BM82" s="12">
        <v>1</v>
      </c>
      <c r="BN82" s="7">
        <v>1</v>
      </c>
      <c r="BO82" s="6"/>
      <c r="BP82" s="6"/>
      <c r="BQ82" s="6"/>
      <c r="BR82" s="6"/>
      <c r="BS82" s="7"/>
    </row>
    <row r="83" spans="7:71" x14ac:dyDescent="0.25">
      <c r="G83" s="12">
        <v>7.49977111117893</v>
      </c>
      <c r="H83" s="6">
        <v>3.0507559383986518</v>
      </c>
      <c r="I83" s="6">
        <v>3</v>
      </c>
      <c r="J83" s="7">
        <v>1</v>
      </c>
      <c r="U83" s="12">
        <v>2.8468517737346701</v>
      </c>
      <c r="V83" s="6">
        <v>0.8221073467737029</v>
      </c>
      <c r="W83" s="7">
        <v>0.13023127143773033</v>
      </c>
      <c r="X83" s="6"/>
      <c r="Y83" s="6"/>
      <c r="Z83" s="6"/>
      <c r="AA83" s="6"/>
      <c r="AB83" s="6"/>
      <c r="AC83" s="6"/>
      <c r="AD83" s="6"/>
      <c r="AE83" s="7"/>
      <c r="BL83" s="12"/>
      <c r="BM83" s="12">
        <v>1</v>
      </c>
      <c r="BN83" s="7">
        <v>0</v>
      </c>
      <c r="BO83" s="6"/>
      <c r="BP83" s="6"/>
      <c r="BQ83" s="6"/>
      <c r="BR83" s="6"/>
      <c r="BS83" s="7"/>
    </row>
    <row r="84" spans="7:71" x14ac:dyDescent="0.25">
      <c r="G84" s="12">
        <v>7.6416821802423165</v>
      </c>
      <c r="H84" s="6">
        <v>3.1408322936622426</v>
      </c>
      <c r="I84" s="6">
        <v>3</v>
      </c>
      <c r="J84" s="7">
        <v>0</v>
      </c>
      <c r="U84" s="12">
        <v>3.0507559383986518</v>
      </c>
      <c r="V84" s="6">
        <v>0.84740756041095433</v>
      </c>
      <c r="W84" s="7">
        <v>0.11791565436450761</v>
      </c>
      <c r="X84" s="6"/>
      <c r="Y84" s="6"/>
      <c r="Z84" s="6"/>
      <c r="AA84" s="6"/>
      <c r="AB84" s="6"/>
      <c r="AC84" s="6"/>
      <c r="AD84" s="6"/>
      <c r="AE84" s="7"/>
      <c r="BL84" s="12"/>
      <c r="BM84" s="12">
        <v>1</v>
      </c>
      <c r="BN84" s="7">
        <v>0</v>
      </c>
      <c r="BO84" s="6"/>
      <c r="BP84" s="6"/>
      <c r="BQ84" s="6"/>
      <c r="BR84" s="6"/>
      <c r="BS84" s="7"/>
    </row>
    <row r="85" spans="7:71" x14ac:dyDescent="0.25">
      <c r="G85" s="12">
        <v>7.8656270027771846</v>
      </c>
      <c r="H85" s="6">
        <v>3.2071208150009625</v>
      </c>
      <c r="I85" s="6">
        <v>5</v>
      </c>
      <c r="J85" s="7">
        <v>2</v>
      </c>
      <c r="U85" s="12">
        <v>3.1408322936622426</v>
      </c>
      <c r="V85" s="6">
        <v>0.85778398277145729</v>
      </c>
      <c r="W85" s="7">
        <v>0.11247986203850233</v>
      </c>
      <c r="X85" s="6"/>
      <c r="Y85" s="6"/>
      <c r="Z85" s="6"/>
      <c r="AA85" s="6"/>
      <c r="AB85" s="6"/>
      <c r="AC85" s="6"/>
      <c r="AD85" s="6"/>
      <c r="AE85" s="7"/>
      <c r="BL85" s="12"/>
      <c r="BM85" s="12">
        <v>0</v>
      </c>
      <c r="BN85" s="7">
        <v>0</v>
      </c>
      <c r="BO85" s="6"/>
      <c r="BP85" s="6"/>
      <c r="BQ85" s="6"/>
      <c r="BR85" s="6"/>
      <c r="BS85" s="7"/>
    </row>
    <row r="86" spans="7:71" x14ac:dyDescent="0.25">
      <c r="G86" s="12">
        <v>7.8995025482955414</v>
      </c>
      <c r="H86" s="6">
        <v>3.2735957827535458</v>
      </c>
      <c r="I86" s="6">
        <v>4</v>
      </c>
      <c r="J86" s="7">
        <v>1</v>
      </c>
      <c r="U86" s="12">
        <v>3.2071208150009625</v>
      </c>
      <c r="V86" s="6">
        <v>0.86510806304381926</v>
      </c>
      <c r="W86" s="7">
        <v>0.10849963172294745</v>
      </c>
      <c r="X86" s="6"/>
      <c r="Y86" s="6"/>
      <c r="Z86" s="6"/>
      <c r="AA86" s="6"/>
      <c r="AB86" s="6"/>
      <c r="AC86" s="6"/>
      <c r="AD86" s="6"/>
      <c r="AE86" s="7"/>
      <c r="BL86" s="12"/>
      <c r="BM86" s="12">
        <v>0</v>
      </c>
      <c r="BN86" s="7">
        <v>1</v>
      </c>
      <c r="BO86" s="6"/>
      <c r="BP86" s="6"/>
      <c r="BQ86" s="6"/>
      <c r="BR86" s="6"/>
      <c r="BS86" s="7"/>
    </row>
    <row r="87" spans="7:71" x14ac:dyDescent="0.25">
      <c r="G87" s="12">
        <v>7.9335612048707542</v>
      </c>
      <c r="H87" s="6">
        <v>3.3628490453120321</v>
      </c>
      <c r="I87" s="6">
        <v>6</v>
      </c>
      <c r="J87" s="7">
        <v>2</v>
      </c>
      <c r="U87" s="12">
        <v>3.2735957827535458</v>
      </c>
      <c r="V87" s="6">
        <v>0.87218860747287252</v>
      </c>
      <c r="W87" s="7">
        <v>0.10453425767237862</v>
      </c>
      <c r="X87" s="6"/>
      <c r="Y87" s="6"/>
      <c r="Z87" s="6"/>
      <c r="AA87" s="6"/>
      <c r="AB87" s="6"/>
      <c r="AC87" s="6"/>
      <c r="AD87" s="6"/>
      <c r="AE87" s="7"/>
      <c r="BL87" s="12"/>
      <c r="BM87" s="12">
        <v>0</v>
      </c>
      <c r="BN87" s="7">
        <v>1</v>
      </c>
      <c r="BO87" s="6"/>
      <c r="BP87" s="6"/>
      <c r="BQ87" s="6"/>
      <c r="BR87" s="6"/>
      <c r="BS87" s="7"/>
    </row>
    <row r="88" spans="7:71" x14ac:dyDescent="0.25">
      <c r="G88" s="12">
        <v>7.9399700918607135</v>
      </c>
      <c r="H88" s="6">
        <v>3.3832672013668343</v>
      </c>
      <c r="I88" s="6">
        <v>3</v>
      </c>
      <c r="J88" s="7">
        <v>2</v>
      </c>
      <c r="U88" s="12">
        <v>3.3628490453120321</v>
      </c>
      <c r="V88" s="6">
        <v>0.88128293950937575</v>
      </c>
      <c r="W88" s="7">
        <v>9.9264461211091684E-2</v>
      </c>
      <c r="X88" s="6"/>
      <c r="Y88" s="6"/>
      <c r="Z88" s="6"/>
      <c r="AA88" s="6"/>
      <c r="AB88" s="6"/>
      <c r="AC88" s="6"/>
      <c r="AD88" s="6"/>
      <c r="AE88" s="7"/>
      <c r="BL88" s="12"/>
      <c r="BM88" s="12">
        <v>0</v>
      </c>
      <c r="BN88" s="7">
        <v>0</v>
      </c>
      <c r="BO88" s="6"/>
      <c r="BP88" s="6"/>
      <c r="BQ88" s="6"/>
      <c r="BR88" s="6"/>
      <c r="BS88" s="7"/>
    </row>
    <row r="89" spans="7:71" x14ac:dyDescent="0.25">
      <c r="G89" s="12">
        <v>8.0185247352519298</v>
      </c>
      <c r="H89" s="6">
        <v>3.4635983209009282</v>
      </c>
      <c r="I89" s="6">
        <v>3</v>
      </c>
      <c r="J89" s="7">
        <v>0</v>
      </c>
      <c r="U89" s="12">
        <v>3.3832672013668343</v>
      </c>
      <c r="V89" s="6">
        <v>0.88329752801308736</v>
      </c>
      <c r="W89" s="7">
        <v>9.8069287688247964E-2</v>
      </c>
      <c r="X89" s="6"/>
      <c r="Y89" s="6"/>
      <c r="Z89" s="6"/>
      <c r="AA89" s="6"/>
      <c r="AB89" s="6"/>
      <c r="AC89" s="6"/>
      <c r="AD89" s="6"/>
      <c r="AE89" s="7"/>
      <c r="BL89" s="12"/>
      <c r="BM89" s="12">
        <v>1</v>
      </c>
      <c r="BN89" s="7">
        <v>1</v>
      </c>
      <c r="BO89" s="6"/>
      <c r="BP89" s="6"/>
      <c r="BQ89" s="6"/>
      <c r="BR89" s="6"/>
      <c r="BS89" s="7"/>
    </row>
    <row r="90" spans="7:71" x14ac:dyDescent="0.25">
      <c r="G90" s="12">
        <v>8.0375682851649515</v>
      </c>
      <c r="H90" s="6">
        <v>3.4711334845051169</v>
      </c>
      <c r="I90" s="6">
        <v>4</v>
      </c>
      <c r="J90" s="7">
        <v>1</v>
      </c>
      <c r="U90" s="12">
        <v>3.4635983209009282</v>
      </c>
      <c r="V90" s="6">
        <v>0.89098794148962068</v>
      </c>
      <c r="W90" s="7">
        <v>9.3410614031674929E-2</v>
      </c>
      <c r="X90" s="6"/>
      <c r="Y90" s="6"/>
      <c r="Z90" s="6"/>
      <c r="AA90" s="6"/>
      <c r="AB90" s="6"/>
      <c r="AC90" s="6"/>
      <c r="AD90" s="6"/>
      <c r="AE90" s="7"/>
      <c r="BL90" s="12"/>
      <c r="BM90" s="12">
        <v>0</v>
      </c>
      <c r="BN90" s="7">
        <v>1</v>
      </c>
      <c r="BO90" s="6"/>
      <c r="BP90" s="6"/>
      <c r="BQ90" s="6"/>
      <c r="BR90" s="6"/>
      <c r="BS90" s="7"/>
    </row>
    <row r="91" spans="7:71" x14ac:dyDescent="0.25">
      <c r="G91" s="12">
        <v>8.1141087069307538</v>
      </c>
      <c r="H91" s="6">
        <v>3.5446752260904759</v>
      </c>
      <c r="I91" s="6">
        <v>1</v>
      </c>
      <c r="J91" s="7">
        <v>2</v>
      </c>
      <c r="U91" s="12">
        <v>3.4711334845051169</v>
      </c>
      <c r="V91" s="6">
        <v>0.89169017332976386</v>
      </c>
      <c r="W91" s="7">
        <v>9.2977448819521274E-2</v>
      </c>
      <c r="X91" s="6"/>
      <c r="Y91" s="6"/>
      <c r="Z91" s="6"/>
      <c r="AA91" s="6"/>
      <c r="AB91" s="6"/>
      <c r="AC91" s="6"/>
      <c r="AD91" s="6"/>
      <c r="AE91" s="7"/>
      <c r="BL91" s="12"/>
      <c r="BM91" s="12">
        <v>0</v>
      </c>
      <c r="BN91" s="7">
        <v>0</v>
      </c>
      <c r="BO91" s="6"/>
      <c r="BP91" s="6"/>
      <c r="BQ91" s="6"/>
      <c r="BR91" s="6"/>
      <c r="BS91" s="7"/>
    </row>
    <row r="92" spans="7:71" x14ac:dyDescent="0.25">
      <c r="G92" s="12">
        <v>8.2128055665761277</v>
      </c>
      <c r="H92" s="6">
        <v>3.581191438366659</v>
      </c>
      <c r="I92" s="6">
        <v>2</v>
      </c>
      <c r="J92" s="7">
        <v>1</v>
      </c>
      <c r="U92" s="12">
        <v>3.5446752260904759</v>
      </c>
      <c r="V92" s="6">
        <v>0.89837340501021801</v>
      </c>
      <c r="W92" s="7">
        <v>8.8787694454494803E-2</v>
      </c>
      <c r="X92" s="6"/>
      <c r="Y92" s="6"/>
      <c r="Z92" s="6"/>
      <c r="AA92" s="6"/>
      <c r="AB92" s="6"/>
      <c r="AC92" s="6"/>
      <c r="AD92" s="6"/>
      <c r="AE92" s="7"/>
      <c r="BL92" s="12"/>
      <c r="BM92" s="12">
        <v>1</v>
      </c>
      <c r="BN92" s="7">
        <v>1</v>
      </c>
      <c r="BO92" s="6"/>
      <c r="BP92" s="6"/>
      <c r="BQ92" s="6"/>
      <c r="BR92" s="6"/>
      <c r="BS92" s="7"/>
    </row>
    <row r="93" spans="7:71" x14ac:dyDescent="0.25">
      <c r="G93" s="12">
        <v>8.2397228919339582</v>
      </c>
      <c r="H93" s="6">
        <v>3.5871850084513426</v>
      </c>
      <c r="I93" s="6">
        <v>3</v>
      </c>
      <c r="J93" s="7">
        <v>0</v>
      </c>
      <c r="U93" s="12">
        <v>3.581191438366659</v>
      </c>
      <c r="V93" s="6">
        <v>0.90157804940584363</v>
      </c>
      <c r="W93" s="7">
        <v>8.6734429009500152E-2</v>
      </c>
      <c r="X93" s="6"/>
      <c r="Y93" s="6"/>
      <c r="Z93" s="6"/>
      <c r="AA93" s="6"/>
      <c r="AB93" s="6"/>
      <c r="AC93" s="6"/>
      <c r="AD93" s="6"/>
      <c r="AE93" s="7"/>
      <c r="BL93" s="12"/>
      <c r="BM93" s="12">
        <v>0</v>
      </c>
      <c r="BN93" s="7">
        <v>0</v>
      </c>
      <c r="BO93" s="6"/>
      <c r="BP93" s="6"/>
      <c r="BQ93" s="6"/>
      <c r="BR93" s="6"/>
      <c r="BS93" s="7"/>
    </row>
    <row r="94" spans="7:71" x14ac:dyDescent="0.25">
      <c r="G94" s="12">
        <v>8.3272499771111175</v>
      </c>
      <c r="H94" s="6">
        <v>3.6532234187470749</v>
      </c>
      <c r="I94" s="6">
        <v>4</v>
      </c>
      <c r="J94" s="7">
        <v>1</v>
      </c>
      <c r="U94" s="12">
        <v>3.5871850084513426</v>
      </c>
      <c r="V94" s="6">
        <v>0.90209689351017819</v>
      </c>
      <c r="W94" s="7">
        <v>8.6399231554308065E-2</v>
      </c>
      <c r="X94" s="6"/>
      <c r="Y94" s="6"/>
      <c r="Z94" s="6"/>
      <c r="AA94" s="6"/>
      <c r="AB94" s="6"/>
      <c r="AC94" s="6"/>
      <c r="AD94" s="6"/>
      <c r="AE94" s="7"/>
      <c r="BL94" s="12"/>
      <c r="BM94" s="12">
        <v>0</v>
      </c>
      <c r="BN94" s="7">
        <v>1</v>
      </c>
      <c r="BO94" s="6"/>
      <c r="BP94" s="6"/>
      <c r="BQ94" s="6"/>
      <c r="BR94" s="6"/>
      <c r="BS94" s="7"/>
    </row>
    <row r="95" spans="7:71" x14ac:dyDescent="0.25">
      <c r="G95" s="12">
        <v>8.3320108645893729</v>
      </c>
      <c r="H95" s="6">
        <v>3.7011992642655969</v>
      </c>
      <c r="I95" s="6">
        <v>6</v>
      </c>
      <c r="J95" s="7">
        <v>0</v>
      </c>
      <c r="U95" s="12">
        <v>3.6532234187470749</v>
      </c>
      <c r="V95" s="6">
        <v>0.90768141978440409</v>
      </c>
      <c r="W95" s="7">
        <v>8.2741414076807199E-2</v>
      </c>
      <c r="X95" s="6"/>
      <c r="Y95" s="6"/>
      <c r="Z95" s="6"/>
      <c r="AA95" s="6"/>
      <c r="AB95" s="6"/>
      <c r="AC95" s="6"/>
      <c r="AD95" s="6"/>
      <c r="AE95" s="7"/>
      <c r="BL95" s="12"/>
      <c r="BM95" s="12">
        <v>1</v>
      </c>
      <c r="BN95" s="7">
        <v>1</v>
      </c>
      <c r="BO95" s="6"/>
      <c r="BP95" s="6"/>
      <c r="BQ95" s="6"/>
      <c r="BR95" s="6"/>
      <c r="BS95" s="7"/>
    </row>
    <row r="96" spans="7:71" x14ac:dyDescent="0.25">
      <c r="G96" s="12">
        <v>8.3781548509170811</v>
      </c>
      <c r="H96" s="6">
        <v>3.7738042263081297</v>
      </c>
      <c r="I96" s="6">
        <v>3</v>
      </c>
      <c r="J96" s="7">
        <v>2</v>
      </c>
      <c r="U96" s="12">
        <v>3.7011992642655969</v>
      </c>
      <c r="V96" s="6">
        <v>0.91158814063860549</v>
      </c>
      <c r="W96" s="7">
        <v>8.0126760110628983E-2</v>
      </c>
      <c r="X96" s="6"/>
      <c r="Y96" s="6"/>
      <c r="Z96" s="6"/>
      <c r="AA96" s="6"/>
      <c r="AB96" s="6"/>
      <c r="AC96" s="6"/>
      <c r="AD96" s="6"/>
      <c r="AE96" s="7"/>
      <c r="BL96" s="12"/>
      <c r="BM96" s="12">
        <v>1</v>
      </c>
      <c r="BN96" s="7">
        <v>1</v>
      </c>
      <c r="BO96" s="6"/>
      <c r="BP96" s="6"/>
      <c r="BQ96" s="6"/>
      <c r="BR96" s="6"/>
      <c r="BS96" s="7"/>
    </row>
    <row r="97" spans="7:71" x14ac:dyDescent="0.25">
      <c r="G97" s="12">
        <v>8.4166081728568365</v>
      </c>
      <c r="H97" s="6">
        <v>4.0706905818078667</v>
      </c>
      <c r="I97" s="6">
        <v>1</v>
      </c>
      <c r="J97" s="7">
        <v>0</v>
      </c>
      <c r="U97" s="12">
        <v>3.7738042263081297</v>
      </c>
      <c r="V97" s="6">
        <v>0.91726419329420117</v>
      </c>
      <c r="W97" s="7">
        <v>7.6242635672723658E-2</v>
      </c>
      <c r="X97" s="6"/>
      <c r="Y97" s="6"/>
      <c r="Z97" s="6"/>
      <c r="AA97" s="6"/>
      <c r="AB97" s="6"/>
      <c r="AC97" s="6"/>
      <c r="AD97" s="6"/>
      <c r="AE97" s="7"/>
      <c r="BL97" s="12"/>
      <c r="BM97" s="12">
        <v>1</v>
      </c>
      <c r="BN97" s="7">
        <v>0</v>
      </c>
      <c r="BO97" s="6"/>
      <c r="BP97" s="6"/>
      <c r="BQ97" s="6"/>
      <c r="BR97" s="6"/>
      <c r="BS97" s="7"/>
    </row>
    <row r="98" spans="7:71" x14ac:dyDescent="0.25">
      <c r="G98" s="12">
        <v>8.4211859492782359</v>
      </c>
      <c r="H98" s="6">
        <v>4.08569724438712</v>
      </c>
      <c r="I98" s="6">
        <v>1</v>
      </c>
      <c r="J98" s="7">
        <v>0</v>
      </c>
      <c r="U98" s="12">
        <v>4.0706905818078667</v>
      </c>
      <c r="V98" s="6">
        <v>0.93765048270972307</v>
      </c>
      <c r="W98" s="7">
        <v>6.1376497442595282E-2</v>
      </c>
      <c r="X98" s="6"/>
      <c r="Y98" s="6"/>
      <c r="Z98" s="6"/>
      <c r="AA98" s="6"/>
      <c r="AB98" s="6"/>
      <c r="AC98" s="6"/>
      <c r="AD98" s="6"/>
      <c r="AE98" s="7"/>
      <c r="BL98" s="12"/>
      <c r="BM98" s="12">
        <v>0</v>
      </c>
      <c r="BN98" s="7">
        <v>0</v>
      </c>
      <c r="BO98" s="6"/>
      <c r="BP98" s="6"/>
      <c r="BQ98" s="6"/>
      <c r="BR98" s="6"/>
      <c r="BS98" s="7"/>
    </row>
    <row r="99" spans="7:71" x14ac:dyDescent="0.25">
      <c r="G99" s="12">
        <v>8.4345530564287241</v>
      </c>
      <c r="H99" s="6">
        <v>4.1688068702351302</v>
      </c>
      <c r="I99" s="6">
        <v>4</v>
      </c>
      <c r="J99" s="7">
        <v>0</v>
      </c>
      <c r="U99" s="12">
        <v>4.08569724438712</v>
      </c>
      <c r="V99" s="6">
        <v>0.93856624546453715</v>
      </c>
      <c r="W99" s="7">
        <v>6.0671776914482438E-2</v>
      </c>
      <c r="X99" s="6"/>
      <c r="Y99" s="6"/>
      <c r="Z99" s="6"/>
      <c r="AA99" s="6"/>
      <c r="AB99" s="6"/>
      <c r="AC99" s="6"/>
      <c r="AD99" s="6"/>
      <c r="AE99" s="7"/>
      <c r="BL99" s="12"/>
      <c r="BM99" s="12">
        <v>1</v>
      </c>
      <c r="BN99" s="7">
        <v>1</v>
      </c>
      <c r="BO99" s="6"/>
      <c r="BP99" s="6"/>
      <c r="BQ99" s="6"/>
      <c r="BR99" s="6"/>
      <c r="BS99" s="7"/>
    </row>
    <row r="100" spans="7:71" x14ac:dyDescent="0.25">
      <c r="G100" s="12">
        <v>8.6643574327829835</v>
      </c>
      <c r="H100" s="6">
        <v>4.4587355912663043</v>
      </c>
      <c r="I100" s="6">
        <v>4</v>
      </c>
      <c r="J100" s="7">
        <v>2</v>
      </c>
      <c r="U100" s="12">
        <v>4.1688068702351302</v>
      </c>
      <c r="V100" s="6">
        <v>0.94344902964283295</v>
      </c>
      <c r="W100" s="7">
        <v>5.685490195560778E-2</v>
      </c>
      <c r="X100" s="6"/>
      <c r="Y100" s="6"/>
      <c r="Z100" s="6"/>
      <c r="AA100" s="6"/>
      <c r="AB100" s="6"/>
      <c r="AC100" s="6"/>
      <c r="AD100" s="6"/>
      <c r="AE100" s="7"/>
      <c r="BL100" s="12"/>
      <c r="BM100" s="12">
        <v>1</v>
      </c>
      <c r="BN100" s="7">
        <v>0</v>
      </c>
      <c r="BO100" s="6"/>
      <c r="BP100" s="6"/>
      <c r="BQ100" s="6"/>
      <c r="BR100" s="6"/>
      <c r="BS100" s="7"/>
    </row>
    <row r="101" spans="7:71" x14ac:dyDescent="0.25">
      <c r="G101" s="12">
        <v>8.7993102816858411</v>
      </c>
      <c r="H101" s="6">
        <v>4.9914993976708502</v>
      </c>
      <c r="I101" s="6">
        <v>4</v>
      </c>
      <c r="J101" s="7">
        <v>0</v>
      </c>
      <c r="U101" s="12">
        <v>4.4587355912663043</v>
      </c>
      <c r="V101" s="6">
        <v>0.95812835501969373</v>
      </c>
      <c r="W101" s="7">
        <v>4.4715181683354074E-2</v>
      </c>
      <c r="X101" s="6"/>
      <c r="Y101" s="6"/>
      <c r="Z101" s="6"/>
      <c r="AA101" s="6"/>
      <c r="AB101" s="6"/>
      <c r="AC101" s="6"/>
      <c r="AD101" s="6"/>
      <c r="AE101" s="7"/>
      <c r="BL101" s="12"/>
      <c r="BM101" s="12">
        <v>1</v>
      </c>
      <c r="BN101" s="7">
        <v>0</v>
      </c>
      <c r="BO101" s="6"/>
      <c r="BP101" s="6"/>
      <c r="BQ101" s="6"/>
      <c r="BR101" s="6"/>
      <c r="BS101" s="7"/>
    </row>
    <row r="102" spans="7:71" x14ac:dyDescent="0.25">
      <c r="G102" s="13">
        <v>8.9053315836054558</v>
      </c>
      <c r="H102" s="10">
        <v>6.9761805459856987</v>
      </c>
      <c r="I102" s="10">
        <v>7</v>
      </c>
      <c r="J102" s="11">
        <v>5</v>
      </c>
      <c r="U102" s="12">
        <v>4.9914993976708502</v>
      </c>
      <c r="V102" s="6">
        <v>0.9770194127596934</v>
      </c>
      <c r="W102" s="7">
        <v>2.7225693326059171E-2</v>
      </c>
      <c r="X102" s="6"/>
      <c r="Y102" s="6"/>
      <c r="Z102" s="6"/>
      <c r="AA102" s="6"/>
      <c r="AB102" s="6"/>
      <c r="AC102" s="6"/>
      <c r="AD102" s="6"/>
      <c r="AE102" s="7"/>
      <c r="BL102" s="12"/>
      <c r="BM102" s="12">
        <v>0</v>
      </c>
      <c r="BN102" s="7">
        <v>1</v>
      </c>
      <c r="BO102" s="6"/>
      <c r="BP102" s="6"/>
      <c r="BQ102" s="6"/>
      <c r="BR102" s="6"/>
      <c r="BS102" s="7"/>
    </row>
    <row r="103" spans="7:71" x14ac:dyDescent="0.25">
      <c r="U103" s="13">
        <v>6.9761805459856987</v>
      </c>
      <c r="V103" s="10">
        <v>0.99859636688355624</v>
      </c>
      <c r="W103" s="11">
        <v>2.2963658898238187E-3</v>
      </c>
      <c r="X103" s="10"/>
      <c r="Y103" s="10"/>
      <c r="Z103" s="10"/>
      <c r="AA103" s="10"/>
      <c r="AB103" s="10"/>
      <c r="AC103" s="10"/>
      <c r="AD103" s="10"/>
      <c r="AE103" s="11"/>
      <c r="BL103" s="13"/>
      <c r="BM103" s="13">
        <v>0</v>
      </c>
      <c r="BN103" s="11">
        <v>0</v>
      </c>
      <c r="BO103" s="10"/>
      <c r="BP103" s="10"/>
      <c r="BQ103" s="10"/>
      <c r="BR103" s="10"/>
      <c r="BS103" s="11"/>
    </row>
  </sheetData>
  <sortState ref="H3:H102">
    <sortCondition ref="H3"/>
  </sortState>
  <mergeCells count="27">
    <mergeCell ref="BO8:BR8"/>
    <mergeCell ref="BL1:BS1"/>
    <mergeCell ref="BO5:BR5"/>
    <mergeCell ref="BO6:BR6"/>
    <mergeCell ref="BO7:BR7"/>
    <mergeCell ref="BL2:BM2"/>
    <mergeCell ref="BN2:BO2"/>
    <mergeCell ref="BH2:BI2"/>
    <mergeCell ref="BJ2:BK2"/>
    <mergeCell ref="BB1:BK1"/>
    <mergeCell ref="BB5:BC5"/>
    <mergeCell ref="BD2:BE2"/>
    <mergeCell ref="BB2:BC3"/>
    <mergeCell ref="BB6:BC6"/>
    <mergeCell ref="BF2:BG2"/>
    <mergeCell ref="AQ2:BA2"/>
    <mergeCell ref="K1:BA1"/>
    <mergeCell ref="BB4:BC4"/>
    <mergeCell ref="A5:B5"/>
    <mergeCell ref="G1:J1"/>
    <mergeCell ref="M2:T2"/>
    <mergeCell ref="U2:AE2"/>
    <mergeCell ref="AF2:AP2"/>
    <mergeCell ref="A2:B2"/>
    <mergeCell ref="A1:F1"/>
    <mergeCell ref="A3:B3"/>
    <mergeCell ref="A4:B4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2020-10-01T09:40:08Z</dcterms:modified>
</cp:coreProperties>
</file>