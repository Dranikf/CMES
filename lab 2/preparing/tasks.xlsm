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BH8" i="1" l="1"/>
  <c r="BH7" i="1"/>
  <c r="BH6" i="1"/>
  <c r="BH5" i="1"/>
  <c r="AY6" i="1" l="1"/>
  <c r="AY5" i="1"/>
  <c r="AY4" i="1"/>
  <c r="AZ6" i="1"/>
  <c r="AZ5" i="1"/>
  <c r="AZ4" i="1"/>
  <c r="AX4" i="1"/>
  <c r="AX6" i="1"/>
  <c r="AX5" i="1"/>
  <c r="AW6" i="1"/>
  <c r="AV6" i="1" l="1"/>
  <c r="AV5" i="1"/>
  <c r="AV4" i="1"/>
  <c r="AT6" i="1"/>
  <c r="AT5" i="1"/>
  <c r="AT4" i="1"/>
  <c r="AS5" i="1"/>
  <c r="AK5" i="1" l="1" a="1"/>
  <c r="AK5" i="1" s="1"/>
  <c r="AJ5" i="1" a="1"/>
  <c r="AJ6" i="1" s="1"/>
  <c r="AC5" i="1" a="1"/>
  <c r="AC5" i="1" s="1"/>
  <c r="AB5" i="1" a="1"/>
  <c r="AB5" i="1" s="1"/>
  <c r="Q5" i="1" a="1"/>
  <c r="Q6" i="1" s="1"/>
  <c r="P5" i="1" a="1"/>
  <c r="P5" i="1" s="1"/>
  <c r="Q97" i="1" l="1"/>
  <c r="Q81" i="1"/>
  <c r="Q65" i="1"/>
  <c r="Q49" i="1"/>
  <c r="Q93" i="1"/>
  <c r="Q77" i="1"/>
  <c r="Q61" i="1"/>
  <c r="Q45" i="1"/>
  <c r="Q89" i="1"/>
  <c r="Q73" i="1"/>
  <c r="Q57" i="1"/>
  <c r="Q101" i="1"/>
  <c r="Q85" i="1"/>
  <c r="Q69" i="1"/>
  <c r="Q53" i="1"/>
  <c r="AK11" i="1"/>
  <c r="AK14" i="1"/>
  <c r="AK10" i="1"/>
  <c r="AK6" i="1"/>
  <c r="AK12" i="1"/>
  <c r="AK8" i="1"/>
  <c r="AK15" i="1"/>
  <c r="AK7" i="1"/>
  <c r="AK13" i="1"/>
  <c r="AK9" i="1"/>
  <c r="AJ15" i="1"/>
  <c r="AJ11" i="1"/>
  <c r="AJ7" i="1"/>
  <c r="AJ13" i="1"/>
  <c r="AJ9" i="1"/>
  <c r="AJ5" i="1"/>
  <c r="AJ12" i="1"/>
  <c r="AJ8" i="1"/>
  <c r="AJ14" i="1"/>
  <c r="AJ10" i="1"/>
  <c r="AC8" i="1"/>
  <c r="AC15" i="1"/>
  <c r="AC7" i="1"/>
  <c r="AC14" i="1"/>
  <c r="AC10" i="1"/>
  <c r="AC6" i="1"/>
  <c r="AC12" i="1"/>
  <c r="AC11" i="1"/>
  <c r="AC13" i="1"/>
  <c r="AC9" i="1"/>
  <c r="AB12" i="1"/>
  <c r="AB6" i="1"/>
  <c r="AB8" i="1"/>
  <c r="AB15" i="1"/>
  <c r="AB11" i="1"/>
  <c r="AB7" i="1"/>
  <c r="AB14" i="1"/>
  <c r="AB10" i="1"/>
  <c r="AB13" i="1"/>
  <c r="AB9" i="1"/>
  <c r="Q41" i="1"/>
  <c r="Q37" i="1"/>
  <c r="Q33" i="1"/>
  <c r="Q29" i="1"/>
  <c r="Q25" i="1"/>
  <c r="Q21" i="1"/>
  <c r="Q17" i="1"/>
  <c r="Q13" i="1"/>
  <c r="Q9" i="1"/>
  <c r="Q5" i="1"/>
  <c r="Q104" i="1"/>
  <c r="Q100" i="1"/>
  <c r="Q96" i="1"/>
  <c r="Q92" i="1"/>
  <c r="Q88" i="1"/>
  <c r="Q84" i="1"/>
  <c r="Q80" i="1"/>
  <c r="Q76" i="1"/>
  <c r="Q72" i="1"/>
  <c r="Q68" i="1"/>
  <c r="Q64" i="1"/>
  <c r="Q60" i="1"/>
  <c r="Q56" i="1"/>
  <c r="Q52" i="1"/>
  <c r="Q48" i="1"/>
  <c r="Q44" i="1"/>
  <c r="Q40" i="1"/>
  <c r="Q36" i="1"/>
  <c r="Q32" i="1"/>
  <c r="Q28" i="1"/>
  <c r="Q24" i="1"/>
  <c r="Q20" i="1"/>
  <c r="Q16" i="1"/>
  <c r="Q12" i="1"/>
  <c r="Q8" i="1"/>
  <c r="Q103" i="1"/>
  <c r="Q99" i="1"/>
  <c r="Q95" i="1"/>
  <c r="Q91" i="1"/>
  <c r="Q87" i="1"/>
  <c r="Q83" i="1"/>
  <c r="Q79" i="1"/>
  <c r="Q75" i="1"/>
  <c r="Q71" i="1"/>
  <c r="Q67" i="1"/>
  <c r="Q63" i="1"/>
  <c r="Q59" i="1"/>
  <c r="Q55" i="1"/>
  <c r="Q51" i="1"/>
  <c r="Q47" i="1"/>
  <c r="Q43" i="1"/>
  <c r="Q39" i="1"/>
  <c r="Q35" i="1"/>
  <c r="Q31" i="1"/>
  <c r="Q27" i="1"/>
  <c r="Q23" i="1"/>
  <c r="Q19" i="1"/>
  <c r="Q15" i="1"/>
  <c r="Q11" i="1"/>
  <c r="Q7" i="1"/>
  <c r="Q102" i="1"/>
  <c r="Q98" i="1"/>
  <c r="Q94" i="1"/>
  <c r="Q90" i="1"/>
  <c r="Q86" i="1"/>
  <c r="Q82" i="1"/>
  <c r="Q78" i="1"/>
  <c r="Q74" i="1"/>
  <c r="Q70" i="1"/>
  <c r="Q66" i="1"/>
  <c r="Q62" i="1"/>
  <c r="Q58" i="1"/>
  <c r="Q54" i="1"/>
  <c r="Q50" i="1"/>
  <c r="Q46" i="1"/>
  <c r="Q42" i="1"/>
  <c r="Q38" i="1"/>
  <c r="Q34" i="1"/>
  <c r="Q30" i="1"/>
  <c r="Q26" i="1"/>
  <c r="Q22" i="1"/>
  <c r="Q18" i="1"/>
  <c r="Q14" i="1"/>
  <c r="Q10" i="1"/>
  <c r="P104" i="1"/>
  <c r="P92" i="1"/>
  <c r="P84" i="1"/>
  <c r="P64" i="1"/>
  <c r="P56" i="1"/>
  <c r="P48" i="1"/>
  <c r="P40" i="1"/>
  <c r="P32" i="1"/>
  <c r="P24" i="1"/>
  <c r="P16" i="1"/>
  <c r="P8" i="1"/>
  <c r="P99" i="1"/>
  <c r="P91" i="1"/>
  <c r="P83" i="1"/>
  <c r="P75" i="1"/>
  <c r="P67" i="1"/>
  <c r="P63" i="1"/>
  <c r="P55" i="1"/>
  <c r="P47" i="1"/>
  <c r="P39" i="1"/>
  <c r="P35" i="1"/>
  <c r="P27" i="1"/>
  <c r="P19" i="1"/>
  <c r="P11" i="1"/>
  <c r="P98" i="1"/>
  <c r="P90" i="1"/>
  <c r="P82" i="1"/>
  <c r="P78" i="1"/>
  <c r="P74" i="1"/>
  <c r="P70" i="1"/>
  <c r="P66" i="1"/>
  <c r="P62" i="1"/>
  <c r="P58" i="1"/>
  <c r="P54" i="1"/>
  <c r="P50" i="1"/>
  <c r="P46" i="1"/>
  <c r="P42" i="1"/>
  <c r="P38" i="1"/>
  <c r="P34" i="1"/>
  <c r="P30" i="1"/>
  <c r="P26" i="1"/>
  <c r="P22" i="1"/>
  <c r="P18" i="1"/>
  <c r="P14" i="1"/>
  <c r="P10" i="1"/>
  <c r="P6" i="1"/>
  <c r="P100" i="1"/>
  <c r="P96" i="1"/>
  <c r="P88" i="1"/>
  <c r="P80" i="1"/>
  <c r="P76" i="1"/>
  <c r="P72" i="1"/>
  <c r="P68" i="1"/>
  <c r="P60" i="1"/>
  <c r="P52" i="1"/>
  <c r="P44" i="1"/>
  <c r="P36" i="1"/>
  <c r="P28" i="1"/>
  <c r="P20" i="1"/>
  <c r="P12" i="1"/>
  <c r="P103" i="1"/>
  <c r="P95" i="1"/>
  <c r="P87" i="1"/>
  <c r="P79" i="1"/>
  <c r="P71" i="1"/>
  <c r="P59" i="1"/>
  <c r="P51" i="1"/>
  <c r="P43" i="1"/>
  <c r="P31" i="1"/>
  <c r="P23" i="1"/>
  <c r="P15" i="1"/>
  <c r="P7" i="1"/>
  <c r="P102" i="1"/>
  <c r="P94" i="1"/>
  <c r="P86" i="1"/>
  <c r="P101" i="1"/>
  <c r="P97" i="1"/>
  <c r="P93" i="1"/>
  <c r="P89" i="1"/>
  <c r="P85" i="1"/>
  <c r="P81" i="1"/>
  <c r="P77" i="1"/>
  <c r="P73" i="1"/>
  <c r="P69" i="1"/>
  <c r="P65" i="1"/>
  <c r="P61" i="1"/>
  <c r="P57" i="1"/>
  <c r="P53" i="1"/>
  <c r="P49" i="1"/>
  <c r="P45" i="1"/>
  <c r="P41" i="1"/>
  <c r="P37" i="1"/>
  <c r="P33" i="1"/>
  <c r="P29" i="1"/>
  <c r="P25" i="1"/>
  <c r="P21" i="1"/>
  <c r="P17" i="1"/>
  <c r="P13" i="1"/>
  <c r="P9" i="1"/>
  <c r="A103" i="1"/>
  <c r="F5" i="1" a="1"/>
  <c r="F8" i="1" l="1"/>
  <c r="F12" i="1"/>
  <c r="F16" i="1"/>
  <c r="F20" i="1"/>
  <c r="F24" i="1"/>
  <c r="F28" i="1"/>
  <c r="F36" i="1"/>
  <c r="F44" i="1"/>
  <c r="F56" i="1"/>
  <c r="F68" i="1"/>
  <c r="F80" i="1"/>
  <c r="F92" i="1"/>
  <c r="F112" i="1"/>
  <c r="F5" i="1"/>
  <c r="F9" i="1"/>
  <c r="F13" i="1"/>
  <c r="F17" i="1"/>
  <c r="F21" i="1"/>
  <c r="F25" i="1"/>
  <c r="F29" i="1"/>
  <c r="F33" i="1"/>
  <c r="F37" i="1"/>
  <c r="F41" i="1"/>
  <c r="F45" i="1"/>
  <c r="F49" i="1"/>
  <c r="F53" i="1"/>
  <c r="F57" i="1"/>
  <c r="F61" i="1"/>
  <c r="F65" i="1"/>
  <c r="F69" i="1"/>
  <c r="F73" i="1"/>
  <c r="F77" i="1"/>
  <c r="F81" i="1"/>
  <c r="F85" i="1"/>
  <c r="F89" i="1"/>
  <c r="F93" i="1"/>
  <c r="F97" i="1"/>
  <c r="F101" i="1"/>
  <c r="F105" i="1"/>
  <c r="F109" i="1"/>
  <c r="F113" i="1"/>
  <c r="F117" i="1"/>
  <c r="F121" i="1"/>
  <c r="F23" i="1"/>
  <c r="F39" i="1"/>
  <c r="F51" i="1"/>
  <c r="F59" i="1"/>
  <c r="F71" i="1"/>
  <c r="F79" i="1"/>
  <c r="F87" i="1"/>
  <c r="F95" i="1"/>
  <c r="F103" i="1"/>
  <c r="F111" i="1"/>
  <c r="F119" i="1"/>
  <c r="F32" i="1"/>
  <c r="F48" i="1"/>
  <c r="F60" i="1"/>
  <c r="F72" i="1"/>
  <c r="F84" i="1"/>
  <c r="F96" i="1"/>
  <c r="F104" i="1"/>
  <c r="F116" i="1"/>
  <c r="F6" i="1"/>
  <c r="F10" i="1"/>
  <c r="F14" i="1"/>
  <c r="F18" i="1"/>
  <c r="F22" i="1"/>
  <c r="F26" i="1"/>
  <c r="F30" i="1"/>
  <c r="F34" i="1"/>
  <c r="F38" i="1"/>
  <c r="F42" i="1"/>
  <c r="F46" i="1"/>
  <c r="F50" i="1"/>
  <c r="F54" i="1"/>
  <c r="F58" i="1"/>
  <c r="F62" i="1"/>
  <c r="F66" i="1"/>
  <c r="F70" i="1"/>
  <c r="F74" i="1"/>
  <c r="F78" i="1"/>
  <c r="F82" i="1"/>
  <c r="F86" i="1"/>
  <c r="F90" i="1"/>
  <c r="F94" i="1"/>
  <c r="F98" i="1"/>
  <c r="F102" i="1"/>
  <c r="F106" i="1"/>
  <c r="F110" i="1"/>
  <c r="F114" i="1"/>
  <c r="F118" i="1"/>
  <c r="F122" i="1"/>
  <c r="F7" i="1"/>
  <c r="F11" i="1"/>
  <c r="F15" i="1"/>
  <c r="F19" i="1"/>
  <c r="F27" i="1"/>
  <c r="F31" i="1"/>
  <c r="F35" i="1"/>
  <c r="F43" i="1"/>
  <c r="F47" i="1"/>
  <c r="F55" i="1"/>
  <c r="F63" i="1"/>
  <c r="F67" i="1"/>
  <c r="F75" i="1"/>
  <c r="F83" i="1"/>
  <c r="F91" i="1"/>
  <c r="F99" i="1"/>
  <c r="F107" i="1"/>
  <c r="F115" i="1"/>
  <c r="F123" i="1"/>
  <c r="F40" i="1"/>
  <c r="F52" i="1"/>
  <c r="F64" i="1"/>
  <c r="F76" i="1"/>
  <c r="F88" i="1"/>
  <c r="F100" i="1"/>
  <c r="F108" i="1"/>
  <c r="F120" i="1"/>
</calcChain>
</file>

<file path=xl/sharedStrings.xml><?xml version="1.0" encoding="utf-8"?>
<sst xmlns="http://schemas.openxmlformats.org/spreadsheetml/2006/main" count="51" uniqueCount="35">
  <si>
    <t>A</t>
  </si>
  <si>
    <t>Б</t>
  </si>
  <si>
    <t>В</t>
  </si>
  <si>
    <t>Г</t>
  </si>
  <si>
    <t>задание 1 (отортирвал для удобства при построении графика)</t>
  </si>
  <si>
    <t>данные для поспроения</t>
  </si>
  <si>
    <t>x</t>
  </si>
  <si>
    <t>F(x)</t>
  </si>
  <si>
    <t>равномерное распределение</t>
  </si>
  <si>
    <t>данные для построения</t>
  </si>
  <si>
    <t>f(x)</t>
  </si>
  <si>
    <t>нормальное распределение</t>
  </si>
  <si>
    <t>биномиальное распределение</t>
  </si>
  <si>
    <t>распределение Пуассона</t>
  </si>
  <si>
    <t>задание 2</t>
  </si>
  <si>
    <t>характеристика</t>
  </si>
  <si>
    <t>теоритич</t>
  </si>
  <si>
    <t>выбороч</t>
  </si>
  <si>
    <t>мат ожидание</t>
  </si>
  <si>
    <t>дисперсия</t>
  </si>
  <si>
    <t>медиана</t>
  </si>
  <si>
    <t>равномерное</t>
  </si>
  <si>
    <t>нормальное</t>
  </si>
  <si>
    <t>пуассона</t>
  </si>
  <si>
    <t>биномиальное</t>
  </si>
  <si>
    <t>задание 3</t>
  </si>
  <si>
    <t>0 = орел</t>
  </si>
  <si>
    <t>1 = решка</t>
  </si>
  <si>
    <t>монета 1</t>
  </si>
  <si>
    <t>монета 2</t>
  </si>
  <si>
    <t>задание 4</t>
  </si>
  <si>
    <t>решка на монете 1</t>
  </si>
  <si>
    <t>орел на монете 1</t>
  </si>
  <si>
    <t>решка на монете 2</t>
  </si>
  <si>
    <t>орел на монете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</si>
</sst>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7" xfId="0" applyFill="1" applyBorder="1" applyAlignment="1"/>
    <xf numFmtId="0" fontId="0" fillId="0" borderId="0" xfId="0" applyBorder="1"/>
    <xf numFmtId="0" fontId="0" fillId="0" borderId="7" xfId="0" applyFill="1" applyBorder="1"/>
    <xf numFmtId="0" fontId="0" fillId="0" borderId="11" xfId="0" applyBorder="1"/>
    <xf numFmtId="0" fontId="0" fillId="0" borderId="12" xfId="0" applyFill="1" applyBorder="1"/>
    <xf numFmtId="0" fontId="0" fillId="0" borderId="13" xfId="0" applyBorder="1"/>
    <xf numFmtId="0" fontId="0" fillId="0" borderId="14" xfId="0" applyBorder="1"/>
    <xf numFmtId="0" fontId="0" fillId="0" borderId="7" xfId="0" applyBorder="1"/>
    <xf numFmtId="0" fontId="0" fillId="0" borderId="12" xfId="0" applyBorder="1"/>
    <xf numFmtId="0" fontId="0" fillId="0" borderId="11" xfId="0" applyFill="1" applyBorder="1"/>
    <xf numFmtId="0" fontId="0" fillId="0" borderId="8" xfId="0" applyBorder="1"/>
    <xf numFmtId="0" fontId="0" fillId="0" borderId="10" xfId="0" applyBorder="1"/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график</a:t>
            </a:r>
            <a:r>
              <a:rPr lang="ru-RU" baseline="0"/>
              <a:t> функции распределения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396739308001438E-2"/>
          <c:y val="0.14856481481481484"/>
          <c:w val="0.87682098866272418"/>
          <c:h val="0.7773611111111110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Лист1!$E$5:$E$123</c:f>
              <c:numCache>
                <c:formatCode>General</c:formatCode>
                <c:ptCount val="11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</c:numCache>
            </c:numRef>
          </c:xVal>
          <c:yVal>
            <c:numRef>
              <c:f>Лист1!$F$5:$F$123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1.2500000000000011E-2</c:v>
                </c:pt>
                <c:pt idx="31">
                  <c:v>2.5000000000000022E-2</c:v>
                </c:pt>
                <c:pt idx="32">
                  <c:v>3.7499999999999978E-2</c:v>
                </c:pt>
                <c:pt idx="33">
                  <c:v>4.9999999999999989E-2</c:v>
                </c:pt>
                <c:pt idx="34">
                  <c:v>6.25E-2</c:v>
                </c:pt>
                <c:pt idx="35">
                  <c:v>7.5000000000000011E-2</c:v>
                </c:pt>
                <c:pt idx="36">
                  <c:v>8.7500000000000022E-2</c:v>
                </c:pt>
                <c:pt idx="37">
                  <c:v>9.9999999999999978E-2</c:v>
                </c:pt>
                <c:pt idx="38">
                  <c:v>0.11249999999999999</c:v>
                </c:pt>
                <c:pt idx="39">
                  <c:v>0.125</c:v>
                </c:pt>
                <c:pt idx="40">
                  <c:v>0.13749999999999996</c:v>
                </c:pt>
                <c:pt idx="41">
                  <c:v>0.15000000000000002</c:v>
                </c:pt>
                <c:pt idx="42">
                  <c:v>0.16249999999999998</c:v>
                </c:pt>
                <c:pt idx="43">
                  <c:v>0.17500000000000004</c:v>
                </c:pt>
                <c:pt idx="44">
                  <c:v>0.1875</c:v>
                </c:pt>
                <c:pt idx="45">
                  <c:v>0.19999999999999996</c:v>
                </c:pt>
                <c:pt idx="46">
                  <c:v>0.21250000000000002</c:v>
                </c:pt>
                <c:pt idx="47">
                  <c:v>0.22499999999999998</c:v>
                </c:pt>
                <c:pt idx="48">
                  <c:v>0.23750000000000004</c:v>
                </c:pt>
                <c:pt idx="49">
                  <c:v>0.25</c:v>
                </c:pt>
                <c:pt idx="50">
                  <c:v>0.26249999999999996</c:v>
                </c:pt>
                <c:pt idx="51">
                  <c:v>0.27500000000000002</c:v>
                </c:pt>
                <c:pt idx="52">
                  <c:v>0.28749999999999998</c:v>
                </c:pt>
                <c:pt idx="53">
                  <c:v>0.30000000000000004</c:v>
                </c:pt>
                <c:pt idx="54">
                  <c:v>0.3125</c:v>
                </c:pt>
                <c:pt idx="55">
                  <c:v>0.32499999999999996</c:v>
                </c:pt>
                <c:pt idx="56">
                  <c:v>0.33750000000000002</c:v>
                </c:pt>
                <c:pt idx="57">
                  <c:v>0.35</c:v>
                </c:pt>
                <c:pt idx="58">
                  <c:v>0.36250000000000004</c:v>
                </c:pt>
                <c:pt idx="59">
                  <c:v>0.375</c:v>
                </c:pt>
                <c:pt idx="60">
                  <c:v>0.38749999999999996</c:v>
                </c:pt>
                <c:pt idx="61">
                  <c:v>0.4</c:v>
                </c:pt>
                <c:pt idx="62">
                  <c:v>0.41249999999999998</c:v>
                </c:pt>
                <c:pt idx="63">
                  <c:v>0.42500000000000004</c:v>
                </c:pt>
                <c:pt idx="64">
                  <c:v>0.4375</c:v>
                </c:pt>
                <c:pt idx="65">
                  <c:v>0.44999999999999996</c:v>
                </c:pt>
                <c:pt idx="66">
                  <c:v>0.46250000000000002</c:v>
                </c:pt>
                <c:pt idx="67">
                  <c:v>0.47499999999999998</c:v>
                </c:pt>
                <c:pt idx="68">
                  <c:v>0.48750000000000004</c:v>
                </c:pt>
                <c:pt idx="69">
                  <c:v>0.5</c:v>
                </c:pt>
                <c:pt idx="70">
                  <c:v>0.51249999999999996</c:v>
                </c:pt>
                <c:pt idx="71">
                  <c:v>0.52500000000000002</c:v>
                </c:pt>
                <c:pt idx="72">
                  <c:v>0.53749999999999998</c:v>
                </c:pt>
                <c:pt idx="73">
                  <c:v>0.55000000000000004</c:v>
                </c:pt>
                <c:pt idx="74">
                  <c:v>0.5625</c:v>
                </c:pt>
                <c:pt idx="75">
                  <c:v>0.57499999999999996</c:v>
                </c:pt>
                <c:pt idx="76">
                  <c:v>0.58750000000000002</c:v>
                </c:pt>
                <c:pt idx="77">
                  <c:v>0.6</c:v>
                </c:pt>
                <c:pt idx="78">
                  <c:v>0.61250000000000004</c:v>
                </c:pt>
                <c:pt idx="79">
                  <c:v>0.625</c:v>
                </c:pt>
                <c:pt idx="80">
                  <c:v>0.63749999999999996</c:v>
                </c:pt>
                <c:pt idx="81">
                  <c:v>0.64999999999999991</c:v>
                </c:pt>
                <c:pt idx="82">
                  <c:v>0.66250000000000009</c:v>
                </c:pt>
                <c:pt idx="83">
                  <c:v>0.67500000000000004</c:v>
                </c:pt>
                <c:pt idx="84">
                  <c:v>0.6875</c:v>
                </c:pt>
                <c:pt idx="85">
                  <c:v>0.7</c:v>
                </c:pt>
                <c:pt idx="86">
                  <c:v>0.71249999999999991</c:v>
                </c:pt>
                <c:pt idx="87">
                  <c:v>0.72500000000000009</c:v>
                </c:pt>
                <c:pt idx="88">
                  <c:v>0.73750000000000004</c:v>
                </c:pt>
                <c:pt idx="89">
                  <c:v>0.75</c:v>
                </c:pt>
                <c:pt idx="90">
                  <c:v>0.76249999999999996</c:v>
                </c:pt>
                <c:pt idx="91">
                  <c:v>0.77499999999999991</c:v>
                </c:pt>
                <c:pt idx="92">
                  <c:v>0.78750000000000009</c:v>
                </c:pt>
                <c:pt idx="93">
                  <c:v>0.8</c:v>
                </c:pt>
                <c:pt idx="94">
                  <c:v>0.8125</c:v>
                </c:pt>
                <c:pt idx="95">
                  <c:v>0.82499999999999996</c:v>
                </c:pt>
                <c:pt idx="96">
                  <c:v>0.83749999999999991</c:v>
                </c:pt>
                <c:pt idx="97">
                  <c:v>0.85000000000000009</c:v>
                </c:pt>
                <c:pt idx="98">
                  <c:v>0.86250000000000004</c:v>
                </c:pt>
                <c:pt idx="99">
                  <c:v>0.875</c:v>
                </c:pt>
                <c:pt idx="100">
                  <c:v>0.88749999999999996</c:v>
                </c:pt>
                <c:pt idx="101">
                  <c:v>0.89999999999999991</c:v>
                </c:pt>
                <c:pt idx="102">
                  <c:v>0.91250000000000009</c:v>
                </c:pt>
                <c:pt idx="103">
                  <c:v>0.92500000000000004</c:v>
                </c:pt>
                <c:pt idx="104">
                  <c:v>0.9375</c:v>
                </c:pt>
                <c:pt idx="105">
                  <c:v>0.95</c:v>
                </c:pt>
                <c:pt idx="106">
                  <c:v>0.96249999999999991</c:v>
                </c:pt>
                <c:pt idx="107">
                  <c:v>0.97500000000000009</c:v>
                </c:pt>
                <c:pt idx="108">
                  <c:v>0.98750000000000004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3472416"/>
        <c:axId val="983470784"/>
      </c:scatterChart>
      <c:valAx>
        <c:axId val="98347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3470784"/>
        <c:crosses val="autoZero"/>
        <c:crossBetween val="midCat"/>
      </c:valAx>
      <c:valAx>
        <c:axId val="98347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347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интегральная</a:t>
            </a:r>
            <a:r>
              <a:rPr lang="ru-RU" baseline="0"/>
              <a:t> функция распределения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Лист1!$O$5:$O$104</c:f>
              <c:numCache>
                <c:formatCode>General</c:formatCode>
                <c:ptCount val="100"/>
                <c:pt idx="0">
                  <c:v>-2.0116931409575045</c:v>
                </c:pt>
                <c:pt idx="1">
                  <c:v>-1.9088929548161104</c:v>
                </c:pt>
                <c:pt idx="2">
                  <c:v>-1.6825015336507931</c:v>
                </c:pt>
                <c:pt idx="3">
                  <c:v>-1.5801242625457235</c:v>
                </c:pt>
                <c:pt idx="4">
                  <c:v>-1.5645900930394419</c:v>
                </c:pt>
                <c:pt idx="5">
                  <c:v>-1.3196358850109391</c:v>
                </c:pt>
                <c:pt idx="6">
                  <c:v>-1.3022940947848838</c:v>
                </c:pt>
                <c:pt idx="7">
                  <c:v>-1.2853342923335731</c:v>
                </c:pt>
                <c:pt idx="8">
                  <c:v>-1.2206055544083938</c:v>
                </c:pt>
                <c:pt idx="9">
                  <c:v>-1.2173882169008721</c:v>
                </c:pt>
                <c:pt idx="10">
                  <c:v>-1.1224619811400771</c:v>
                </c:pt>
                <c:pt idx="11">
                  <c:v>-1.0766757441160735</c:v>
                </c:pt>
                <c:pt idx="12">
                  <c:v>-1.0042549547506496</c:v>
                </c:pt>
                <c:pt idx="13">
                  <c:v>-0.97135853138752282</c:v>
                </c:pt>
                <c:pt idx="14">
                  <c:v>-0.92694790509995073</c:v>
                </c:pt>
                <c:pt idx="15">
                  <c:v>-0.88780552687239833</c:v>
                </c:pt>
                <c:pt idx="16">
                  <c:v>-0.86012278188718483</c:v>
                </c:pt>
                <c:pt idx="17">
                  <c:v>-0.84493876784108579</c:v>
                </c:pt>
                <c:pt idx="18">
                  <c:v>-0.84362909547053277</c:v>
                </c:pt>
                <c:pt idx="19">
                  <c:v>-0.83937720773974434</c:v>
                </c:pt>
                <c:pt idx="20">
                  <c:v>-0.79924802776076831</c:v>
                </c:pt>
                <c:pt idx="21">
                  <c:v>-0.76794776759925298</c:v>
                </c:pt>
                <c:pt idx="22">
                  <c:v>-0.74351873990963213</c:v>
                </c:pt>
                <c:pt idx="23">
                  <c:v>-0.69886937126284465</c:v>
                </c:pt>
                <c:pt idx="24">
                  <c:v>-0.69525981416518334</c:v>
                </c:pt>
                <c:pt idx="25">
                  <c:v>-0.68120243668090552</c:v>
                </c:pt>
                <c:pt idx="26">
                  <c:v>-0.64347887018811889</c:v>
                </c:pt>
                <c:pt idx="27">
                  <c:v>-0.63381776271853596</c:v>
                </c:pt>
                <c:pt idx="28">
                  <c:v>-0.61771970649715513</c:v>
                </c:pt>
                <c:pt idx="29">
                  <c:v>-0.56909357226686552</c:v>
                </c:pt>
                <c:pt idx="30">
                  <c:v>-0.55940631682460662</c:v>
                </c:pt>
                <c:pt idx="31">
                  <c:v>-0.54692691264790483</c:v>
                </c:pt>
                <c:pt idx="32">
                  <c:v>-0.49730147111404222</c:v>
                </c:pt>
                <c:pt idx="33">
                  <c:v>-0.42899273466900922</c:v>
                </c:pt>
                <c:pt idx="34">
                  <c:v>-0.32054117582447361</c:v>
                </c:pt>
                <c:pt idx="35">
                  <c:v>-0.30023215913388412</c:v>
                </c:pt>
                <c:pt idx="36">
                  <c:v>-0.24780547391856089</c:v>
                </c:pt>
                <c:pt idx="37">
                  <c:v>-0.16595777196926065</c:v>
                </c:pt>
                <c:pt idx="38">
                  <c:v>-0.15719933799118735</c:v>
                </c:pt>
                <c:pt idx="39">
                  <c:v>-0.13778844731859863</c:v>
                </c:pt>
                <c:pt idx="40">
                  <c:v>-0.12567284102260601</c:v>
                </c:pt>
                <c:pt idx="41">
                  <c:v>-0.11465431271062698</c:v>
                </c:pt>
                <c:pt idx="42">
                  <c:v>-4.5799879444530234E-2</c:v>
                </c:pt>
                <c:pt idx="43">
                  <c:v>-3.9292444853344932E-2</c:v>
                </c:pt>
                <c:pt idx="44">
                  <c:v>-6.999698598519899E-3</c:v>
                </c:pt>
                <c:pt idx="45">
                  <c:v>6.3869265432003886E-3</c:v>
                </c:pt>
                <c:pt idx="46">
                  <c:v>1.0518306226003915E-2</c:v>
                </c:pt>
                <c:pt idx="47">
                  <c:v>3.8909320210223086E-2</c:v>
                </c:pt>
                <c:pt idx="48">
                  <c:v>4.1665089156595059E-2</c:v>
                </c:pt>
                <c:pt idx="49">
                  <c:v>0.10164967534365132</c:v>
                </c:pt>
                <c:pt idx="50">
                  <c:v>0.14350462151924148</c:v>
                </c:pt>
                <c:pt idx="51">
                  <c:v>0.15541786524408963</c:v>
                </c:pt>
                <c:pt idx="52">
                  <c:v>0.16502667676832061</c:v>
                </c:pt>
                <c:pt idx="53">
                  <c:v>0.18584614736028016</c:v>
                </c:pt>
                <c:pt idx="54">
                  <c:v>0.21966002350382041</c:v>
                </c:pt>
                <c:pt idx="55">
                  <c:v>0.27559281079447828</c:v>
                </c:pt>
                <c:pt idx="56">
                  <c:v>0.29128159440006129</c:v>
                </c:pt>
                <c:pt idx="57">
                  <c:v>0.29383613764366601</c:v>
                </c:pt>
                <c:pt idx="58">
                  <c:v>0.32828211260493845</c:v>
                </c:pt>
                <c:pt idx="59">
                  <c:v>0.33733840609784238</c:v>
                </c:pt>
                <c:pt idx="60">
                  <c:v>0.36524852475849912</c:v>
                </c:pt>
                <c:pt idx="61">
                  <c:v>0.36868414099444635</c:v>
                </c:pt>
                <c:pt idx="62">
                  <c:v>0.38371013033611234</c:v>
                </c:pt>
                <c:pt idx="63">
                  <c:v>0.38931602830416523</c:v>
                </c:pt>
                <c:pt idx="64">
                  <c:v>0.39385895433952101</c:v>
                </c:pt>
                <c:pt idx="65">
                  <c:v>0.40048007576842792</c:v>
                </c:pt>
                <c:pt idx="66">
                  <c:v>0.4130288289161399</c:v>
                </c:pt>
                <c:pt idx="67">
                  <c:v>0.45234401113702916</c:v>
                </c:pt>
                <c:pt idx="68">
                  <c:v>0.4704691036749864</c:v>
                </c:pt>
                <c:pt idx="69">
                  <c:v>0.48521769713261165</c:v>
                </c:pt>
                <c:pt idx="70">
                  <c:v>0.50815174290619325</c:v>
                </c:pt>
                <c:pt idx="71">
                  <c:v>0.52642917580669746</c:v>
                </c:pt>
                <c:pt idx="72">
                  <c:v>0.54364136303775012</c:v>
                </c:pt>
                <c:pt idx="73">
                  <c:v>0.623099367658142</c:v>
                </c:pt>
                <c:pt idx="74">
                  <c:v>0.62337676354218274</c:v>
                </c:pt>
                <c:pt idx="75">
                  <c:v>0.64404275690321811</c:v>
                </c:pt>
                <c:pt idx="76">
                  <c:v>0.64620962803019211</c:v>
                </c:pt>
                <c:pt idx="77">
                  <c:v>0.72101329351426102</c:v>
                </c:pt>
                <c:pt idx="78">
                  <c:v>0.75659272624761797</c:v>
                </c:pt>
                <c:pt idx="79">
                  <c:v>0.79053961599129252</c:v>
                </c:pt>
                <c:pt idx="80">
                  <c:v>0.82220140029676259</c:v>
                </c:pt>
                <c:pt idx="81">
                  <c:v>0.83059603639412671</c:v>
                </c:pt>
                <c:pt idx="82">
                  <c:v>0.85547981143463403</c:v>
                </c:pt>
                <c:pt idx="83">
                  <c:v>0.85757847045897506</c:v>
                </c:pt>
                <c:pt idx="84">
                  <c:v>0.88090700955945067</c:v>
                </c:pt>
                <c:pt idx="85">
                  <c:v>0.95156337920343503</c:v>
                </c:pt>
                <c:pt idx="86">
                  <c:v>0.97369138529757038</c:v>
                </c:pt>
                <c:pt idx="87">
                  <c:v>1.0098437996930443</c:v>
                </c:pt>
                <c:pt idx="88">
                  <c:v>1.1312681635899935</c:v>
                </c:pt>
                <c:pt idx="89">
                  <c:v>1.1331553650961723</c:v>
                </c:pt>
                <c:pt idx="90">
                  <c:v>1.1385509424144402</c:v>
                </c:pt>
                <c:pt idx="91">
                  <c:v>1.1473707672848832</c:v>
                </c:pt>
                <c:pt idx="92">
                  <c:v>1.272337613045238</c:v>
                </c:pt>
                <c:pt idx="93">
                  <c:v>1.3515500540961511</c:v>
                </c:pt>
                <c:pt idx="94">
                  <c:v>1.4509487300529145</c:v>
                </c:pt>
                <c:pt idx="95">
                  <c:v>1.4848728824290447</c:v>
                </c:pt>
                <c:pt idx="96">
                  <c:v>1.7822458175942302</c:v>
                </c:pt>
                <c:pt idx="97">
                  <c:v>1.8481750885257497</c:v>
                </c:pt>
                <c:pt idx="98">
                  <c:v>2.0082370610907674</c:v>
                </c:pt>
                <c:pt idx="99">
                  <c:v>2.6707130018621683</c:v>
                </c:pt>
              </c:numCache>
            </c:numRef>
          </c:xVal>
          <c:yVal>
            <c:numRef>
              <c:f>Лист1!$P$5:$P$104</c:f>
              <c:numCache>
                <c:formatCode>General</c:formatCode>
                <c:ptCount val="100"/>
                <c:pt idx="0">
                  <c:v>2.212614705089953E-2</c:v>
                </c:pt>
                <c:pt idx="1">
                  <c:v>2.8137951029148511E-2</c:v>
                </c:pt>
                <c:pt idx="2">
                  <c:v>4.6235813889513047E-2</c:v>
                </c:pt>
                <c:pt idx="3">
                  <c:v>5.7039205976512158E-2</c:v>
                </c:pt>
                <c:pt idx="4">
                  <c:v>5.8839526656504756E-2</c:v>
                </c:pt>
                <c:pt idx="5">
                  <c:v>9.347830788102468E-2</c:v>
                </c:pt>
                <c:pt idx="6">
                  <c:v>9.6407934783029059E-2</c:v>
                </c:pt>
                <c:pt idx="7">
                  <c:v>9.9337745860993282E-2</c:v>
                </c:pt>
                <c:pt idx="8">
                  <c:v>0.1111177011473376</c:v>
                </c:pt>
                <c:pt idx="9">
                  <c:v>0.11172827203947867</c:v>
                </c:pt>
                <c:pt idx="10">
                  <c:v>0.13083303191905568</c:v>
                </c:pt>
                <c:pt idx="11">
                  <c:v>0.14081257617151005</c:v>
                </c:pt>
                <c:pt idx="12">
                  <c:v>0.15762786983746294</c:v>
                </c:pt>
                <c:pt idx="13">
                  <c:v>0.16568488556964694</c:v>
                </c:pt>
                <c:pt idx="14">
                  <c:v>0.17697679144278705</c:v>
                </c:pt>
                <c:pt idx="15">
                  <c:v>0.18732268472688166</c:v>
                </c:pt>
                <c:pt idx="16">
                  <c:v>0.1948606821099752</c:v>
                </c:pt>
                <c:pt idx="17">
                  <c:v>0.19907251386072375</c:v>
                </c:pt>
                <c:pt idx="18">
                  <c:v>0.19943835019297504</c:v>
                </c:pt>
                <c:pt idx="19">
                  <c:v>0.20062883488226907</c:v>
                </c:pt>
                <c:pt idx="20">
                  <c:v>0.21207330410546987</c:v>
                </c:pt>
                <c:pt idx="21">
                  <c:v>0.22125910845930996</c:v>
                </c:pt>
                <c:pt idx="22">
                  <c:v>0.2285838400537574</c:v>
                </c:pt>
                <c:pt idx="23">
                  <c:v>0.24231683516133257</c:v>
                </c:pt>
                <c:pt idx="24">
                  <c:v>0.24344624670773352</c:v>
                </c:pt>
                <c:pt idx="25">
                  <c:v>0.24787170321171215</c:v>
                </c:pt>
                <c:pt idx="26">
                  <c:v>0.25995671052155089</c:v>
                </c:pt>
                <c:pt idx="27">
                  <c:v>0.26309987979756655</c:v>
                </c:pt>
                <c:pt idx="28">
                  <c:v>0.26838005973276413</c:v>
                </c:pt>
                <c:pt idx="29">
                  <c:v>0.2846463201094398</c:v>
                </c:pt>
                <c:pt idx="30">
                  <c:v>0.28794222564498118</c:v>
                </c:pt>
                <c:pt idx="31">
                  <c:v>0.29221447269961232</c:v>
                </c:pt>
                <c:pt idx="32">
                  <c:v>0.30948823725418334</c:v>
                </c:pt>
                <c:pt idx="33">
                  <c:v>0.33396425598383639</c:v>
                </c:pt>
                <c:pt idx="34">
                  <c:v>0.37427906088931895</c:v>
                </c:pt>
                <c:pt idx="35">
                  <c:v>0.38200003823025808</c:v>
                </c:pt>
                <c:pt idx="36">
                  <c:v>0.40214245971699258</c:v>
                </c:pt>
                <c:pt idx="37">
                  <c:v>0.43409509117120398</c:v>
                </c:pt>
                <c:pt idx="38">
                  <c:v>0.43754387501073144</c:v>
                </c:pt>
                <c:pt idx="39">
                  <c:v>0.44520380748533972</c:v>
                </c:pt>
                <c:pt idx="40">
                  <c:v>0.44999545055570234</c:v>
                </c:pt>
                <c:pt idx="41">
                  <c:v>0.45435956410151734</c:v>
                </c:pt>
                <c:pt idx="42">
                  <c:v>0.48173487745040283</c:v>
                </c:pt>
                <c:pt idx="43">
                  <c:v>0.48432861505005081</c:v>
                </c:pt>
                <c:pt idx="44">
                  <c:v>0.49720754708207071</c:v>
                </c:pt>
                <c:pt idx="45">
                  <c:v>0.50254799771654912</c:v>
                </c:pt>
                <c:pt idx="46">
                  <c:v>0.50419611969883316</c:v>
                </c:pt>
                <c:pt idx="47">
                  <c:v>0.51551865712789458</c:v>
                </c:pt>
                <c:pt idx="48">
                  <c:v>0.51661715770093852</c:v>
                </c:pt>
                <c:pt idx="49">
                  <c:v>0.54048262579928674</c:v>
                </c:pt>
                <c:pt idx="50">
                  <c:v>0.55705416920839812</c:v>
                </c:pt>
                <c:pt idx="51">
                  <c:v>0.56175404956830699</c:v>
                </c:pt>
                <c:pt idx="52">
                  <c:v>0.56553850755027879</c:v>
                </c:pt>
                <c:pt idx="53">
                  <c:v>0.57371729274197758</c:v>
                </c:pt>
                <c:pt idx="54">
                  <c:v>0.58693202957414048</c:v>
                </c:pt>
                <c:pt idx="55">
                  <c:v>0.60856958396770622</c:v>
                </c:pt>
                <c:pt idx="56">
                  <c:v>0.61458201850795402</c:v>
                </c:pt>
                <c:pt idx="57">
                  <c:v>0.61555844023468875</c:v>
                </c:pt>
                <c:pt idx="58">
                  <c:v>0.62865081623982366</c:v>
                </c:pt>
                <c:pt idx="59">
                  <c:v>0.632069094607979</c:v>
                </c:pt>
                <c:pt idx="60">
                  <c:v>0.64253705043603737</c:v>
                </c:pt>
                <c:pt idx="61">
                  <c:v>0.64381841452524702</c:v>
                </c:pt>
                <c:pt idx="62">
                  <c:v>0.64940334828952473</c:v>
                </c:pt>
                <c:pt idx="63">
                  <c:v>0.65147880955343063</c:v>
                </c:pt>
                <c:pt idx="64">
                  <c:v>0.65315741215529233</c:v>
                </c:pt>
                <c:pt idx="65">
                  <c:v>0.65559852219996984</c:v>
                </c:pt>
                <c:pt idx="66">
                  <c:v>0.66020725394066415</c:v>
                </c:pt>
                <c:pt idx="67">
                  <c:v>0.67448941261380713</c:v>
                </c:pt>
                <c:pt idx="68">
                  <c:v>0.68099004845207844</c:v>
                </c:pt>
                <c:pt idx="69">
                  <c:v>0.68623903507987682</c:v>
                </c:pt>
                <c:pt idx="70">
                  <c:v>0.69432653478884743</c:v>
                </c:pt>
                <c:pt idx="71">
                  <c:v>0.70070497563812517</c:v>
                </c:pt>
                <c:pt idx="72">
                  <c:v>0.70665585487436278</c:v>
                </c:pt>
                <c:pt idx="73">
                  <c:v>0.7333903873772073</c:v>
                </c:pt>
                <c:pt idx="74">
                  <c:v>0.73348151803637651</c:v>
                </c:pt>
                <c:pt idx="75">
                  <c:v>0.74022614582226254</c:v>
                </c:pt>
                <c:pt idx="76">
                  <c:v>0.74092819747417005</c:v>
                </c:pt>
                <c:pt idx="77">
                  <c:v>0.76454933208807052</c:v>
                </c:pt>
                <c:pt idx="78">
                  <c:v>0.77535304978414632</c:v>
                </c:pt>
                <c:pt idx="79">
                  <c:v>0.78539365215668133</c:v>
                </c:pt>
                <c:pt idx="80">
                  <c:v>0.79451885902643438</c:v>
                </c:pt>
                <c:pt idx="81">
                  <c:v>0.79689906269015909</c:v>
                </c:pt>
                <c:pt idx="82">
                  <c:v>0.80385721188490877</c:v>
                </c:pt>
                <c:pt idx="83">
                  <c:v>0.80443736623743267</c:v>
                </c:pt>
                <c:pt idx="84">
                  <c:v>0.81081592338193953</c:v>
                </c:pt>
                <c:pt idx="85">
                  <c:v>0.82934076936538959</c:v>
                </c:pt>
                <c:pt idx="86">
                  <c:v>0.83489510202127071</c:v>
                </c:pt>
                <c:pt idx="87">
                  <c:v>0.84371493407217413</c:v>
                </c:pt>
                <c:pt idx="88">
                  <c:v>0.87102888008503165</c:v>
                </c:pt>
                <c:pt idx="89">
                  <c:v>0.87142549272847658</c:v>
                </c:pt>
                <c:pt idx="90">
                  <c:v>0.87255475010546402</c:v>
                </c:pt>
                <c:pt idx="91">
                  <c:v>0.87438579121201265</c:v>
                </c:pt>
                <c:pt idx="92">
                  <c:v>0.89837340501021801</c:v>
                </c:pt>
                <c:pt idx="93">
                  <c:v>0.91174035136824894</c:v>
                </c:pt>
                <c:pt idx="94">
                  <c:v>0.92660293139350536</c:v>
                </c:pt>
                <c:pt idx="95">
                  <c:v>0.93121124965151469</c:v>
                </c:pt>
                <c:pt idx="96">
                  <c:v>0.96264542292956379</c:v>
                </c:pt>
                <c:pt idx="97">
                  <c:v>0.9677114910135084</c:v>
                </c:pt>
                <c:pt idx="98">
                  <c:v>0.977690946765161</c:v>
                </c:pt>
                <c:pt idx="99">
                  <c:v>0.99621548339994959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3465888"/>
        <c:axId val="983467520"/>
      </c:scatterChart>
      <c:valAx>
        <c:axId val="98346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3467520"/>
        <c:crosses val="autoZero"/>
        <c:crossBetween val="midCat"/>
      </c:valAx>
      <c:valAx>
        <c:axId val="98346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3465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функция</a:t>
            </a:r>
            <a:r>
              <a:rPr lang="ru-RU" baseline="0"/>
              <a:t> распределения вероятности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Лист1!$O$5:$O$104</c:f>
              <c:numCache>
                <c:formatCode>General</c:formatCode>
                <c:ptCount val="100"/>
                <c:pt idx="0">
                  <c:v>-2.0116931409575045</c:v>
                </c:pt>
                <c:pt idx="1">
                  <c:v>-1.9088929548161104</c:v>
                </c:pt>
                <c:pt idx="2">
                  <c:v>-1.6825015336507931</c:v>
                </c:pt>
                <c:pt idx="3">
                  <c:v>-1.5801242625457235</c:v>
                </c:pt>
                <c:pt idx="4">
                  <c:v>-1.5645900930394419</c:v>
                </c:pt>
                <c:pt idx="5">
                  <c:v>-1.3196358850109391</c:v>
                </c:pt>
                <c:pt idx="6">
                  <c:v>-1.3022940947848838</c:v>
                </c:pt>
                <c:pt idx="7">
                  <c:v>-1.2853342923335731</c:v>
                </c:pt>
                <c:pt idx="8">
                  <c:v>-1.2206055544083938</c:v>
                </c:pt>
                <c:pt idx="9">
                  <c:v>-1.2173882169008721</c:v>
                </c:pt>
                <c:pt idx="10">
                  <c:v>-1.1224619811400771</c:v>
                </c:pt>
                <c:pt idx="11">
                  <c:v>-1.0766757441160735</c:v>
                </c:pt>
                <c:pt idx="12">
                  <c:v>-1.0042549547506496</c:v>
                </c:pt>
                <c:pt idx="13">
                  <c:v>-0.97135853138752282</c:v>
                </c:pt>
                <c:pt idx="14">
                  <c:v>-0.92694790509995073</c:v>
                </c:pt>
                <c:pt idx="15">
                  <c:v>-0.88780552687239833</c:v>
                </c:pt>
                <c:pt idx="16">
                  <c:v>-0.86012278188718483</c:v>
                </c:pt>
                <c:pt idx="17">
                  <c:v>-0.84493876784108579</c:v>
                </c:pt>
                <c:pt idx="18">
                  <c:v>-0.84362909547053277</c:v>
                </c:pt>
                <c:pt idx="19">
                  <c:v>-0.83937720773974434</c:v>
                </c:pt>
                <c:pt idx="20">
                  <c:v>-0.79924802776076831</c:v>
                </c:pt>
                <c:pt idx="21">
                  <c:v>-0.76794776759925298</c:v>
                </c:pt>
                <c:pt idx="22">
                  <c:v>-0.74351873990963213</c:v>
                </c:pt>
                <c:pt idx="23">
                  <c:v>-0.69886937126284465</c:v>
                </c:pt>
                <c:pt idx="24">
                  <c:v>-0.69525981416518334</c:v>
                </c:pt>
                <c:pt idx="25">
                  <c:v>-0.68120243668090552</c:v>
                </c:pt>
                <c:pt idx="26">
                  <c:v>-0.64347887018811889</c:v>
                </c:pt>
                <c:pt idx="27">
                  <c:v>-0.63381776271853596</c:v>
                </c:pt>
                <c:pt idx="28">
                  <c:v>-0.61771970649715513</c:v>
                </c:pt>
                <c:pt idx="29">
                  <c:v>-0.56909357226686552</c:v>
                </c:pt>
                <c:pt idx="30">
                  <c:v>-0.55940631682460662</c:v>
                </c:pt>
                <c:pt idx="31">
                  <c:v>-0.54692691264790483</c:v>
                </c:pt>
                <c:pt idx="32">
                  <c:v>-0.49730147111404222</c:v>
                </c:pt>
                <c:pt idx="33">
                  <c:v>-0.42899273466900922</c:v>
                </c:pt>
                <c:pt idx="34">
                  <c:v>-0.32054117582447361</c:v>
                </c:pt>
                <c:pt idx="35">
                  <c:v>-0.30023215913388412</c:v>
                </c:pt>
                <c:pt idx="36">
                  <c:v>-0.24780547391856089</c:v>
                </c:pt>
                <c:pt idx="37">
                  <c:v>-0.16595777196926065</c:v>
                </c:pt>
                <c:pt idx="38">
                  <c:v>-0.15719933799118735</c:v>
                </c:pt>
                <c:pt idx="39">
                  <c:v>-0.13778844731859863</c:v>
                </c:pt>
                <c:pt idx="40">
                  <c:v>-0.12567284102260601</c:v>
                </c:pt>
                <c:pt idx="41">
                  <c:v>-0.11465431271062698</c:v>
                </c:pt>
                <c:pt idx="42">
                  <c:v>-4.5799879444530234E-2</c:v>
                </c:pt>
                <c:pt idx="43">
                  <c:v>-3.9292444853344932E-2</c:v>
                </c:pt>
                <c:pt idx="44">
                  <c:v>-6.999698598519899E-3</c:v>
                </c:pt>
                <c:pt idx="45">
                  <c:v>6.3869265432003886E-3</c:v>
                </c:pt>
                <c:pt idx="46">
                  <c:v>1.0518306226003915E-2</c:v>
                </c:pt>
                <c:pt idx="47">
                  <c:v>3.8909320210223086E-2</c:v>
                </c:pt>
                <c:pt idx="48">
                  <c:v>4.1665089156595059E-2</c:v>
                </c:pt>
                <c:pt idx="49">
                  <c:v>0.10164967534365132</c:v>
                </c:pt>
                <c:pt idx="50">
                  <c:v>0.14350462151924148</c:v>
                </c:pt>
                <c:pt idx="51">
                  <c:v>0.15541786524408963</c:v>
                </c:pt>
                <c:pt idx="52">
                  <c:v>0.16502667676832061</c:v>
                </c:pt>
                <c:pt idx="53">
                  <c:v>0.18584614736028016</c:v>
                </c:pt>
                <c:pt idx="54">
                  <c:v>0.21966002350382041</c:v>
                </c:pt>
                <c:pt idx="55">
                  <c:v>0.27559281079447828</c:v>
                </c:pt>
                <c:pt idx="56">
                  <c:v>0.29128159440006129</c:v>
                </c:pt>
                <c:pt idx="57">
                  <c:v>0.29383613764366601</c:v>
                </c:pt>
                <c:pt idx="58">
                  <c:v>0.32828211260493845</c:v>
                </c:pt>
                <c:pt idx="59">
                  <c:v>0.33733840609784238</c:v>
                </c:pt>
                <c:pt idx="60">
                  <c:v>0.36524852475849912</c:v>
                </c:pt>
                <c:pt idx="61">
                  <c:v>0.36868414099444635</c:v>
                </c:pt>
                <c:pt idx="62">
                  <c:v>0.38371013033611234</c:v>
                </c:pt>
                <c:pt idx="63">
                  <c:v>0.38931602830416523</c:v>
                </c:pt>
                <c:pt idx="64">
                  <c:v>0.39385895433952101</c:v>
                </c:pt>
                <c:pt idx="65">
                  <c:v>0.40048007576842792</c:v>
                </c:pt>
                <c:pt idx="66">
                  <c:v>0.4130288289161399</c:v>
                </c:pt>
                <c:pt idx="67">
                  <c:v>0.45234401113702916</c:v>
                </c:pt>
                <c:pt idx="68">
                  <c:v>0.4704691036749864</c:v>
                </c:pt>
                <c:pt idx="69">
                  <c:v>0.48521769713261165</c:v>
                </c:pt>
                <c:pt idx="70">
                  <c:v>0.50815174290619325</c:v>
                </c:pt>
                <c:pt idx="71">
                  <c:v>0.52642917580669746</c:v>
                </c:pt>
                <c:pt idx="72">
                  <c:v>0.54364136303775012</c:v>
                </c:pt>
                <c:pt idx="73">
                  <c:v>0.623099367658142</c:v>
                </c:pt>
                <c:pt idx="74">
                  <c:v>0.62337676354218274</c:v>
                </c:pt>
                <c:pt idx="75">
                  <c:v>0.64404275690321811</c:v>
                </c:pt>
                <c:pt idx="76">
                  <c:v>0.64620962803019211</c:v>
                </c:pt>
                <c:pt idx="77">
                  <c:v>0.72101329351426102</c:v>
                </c:pt>
                <c:pt idx="78">
                  <c:v>0.75659272624761797</c:v>
                </c:pt>
                <c:pt idx="79">
                  <c:v>0.79053961599129252</c:v>
                </c:pt>
                <c:pt idx="80">
                  <c:v>0.82220140029676259</c:v>
                </c:pt>
                <c:pt idx="81">
                  <c:v>0.83059603639412671</c:v>
                </c:pt>
                <c:pt idx="82">
                  <c:v>0.85547981143463403</c:v>
                </c:pt>
                <c:pt idx="83">
                  <c:v>0.85757847045897506</c:v>
                </c:pt>
                <c:pt idx="84">
                  <c:v>0.88090700955945067</c:v>
                </c:pt>
                <c:pt idx="85">
                  <c:v>0.95156337920343503</c:v>
                </c:pt>
                <c:pt idx="86">
                  <c:v>0.97369138529757038</c:v>
                </c:pt>
                <c:pt idx="87">
                  <c:v>1.0098437996930443</c:v>
                </c:pt>
                <c:pt idx="88">
                  <c:v>1.1312681635899935</c:v>
                </c:pt>
                <c:pt idx="89">
                  <c:v>1.1331553650961723</c:v>
                </c:pt>
                <c:pt idx="90">
                  <c:v>1.1385509424144402</c:v>
                </c:pt>
                <c:pt idx="91">
                  <c:v>1.1473707672848832</c:v>
                </c:pt>
                <c:pt idx="92">
                  <c:v>1.272337613045238</c:v>
                </c:pt>
                <c:pt idx="93">
                  <c:v>1.3515500540961511</c:v>
                </c:pt>
                <c:pt idx="94">
                  <c:v>1.4509487300529145</c:v>
                </c:pt>
                <c:pt idx="95">
                  <c:v>1.4848728824290447</c:v>
                </c:pt>
                <c:pt idx="96">
                  <c:v>1.7822458175942302</c:v>
                </c:pt>
                <c:pt idx="97">
                  <c:v>1.8481750885257497</c:v>
                </c:pt>
                <c:pt idx="98">
                  <c:v>2.0082370610907674</c:v>
                </c:pt>
                <c:pt idx="99">
                  <c:v>2.6707130018621683</c:v>
                </c:pt>
              </c:numCache>
            </c:numRef>
          </c:xVal>
          <c:yVal>
            <c:numRef>
              <c:f>Лист1!$Q$5:$Q$104</c:f>
              <c:numCache>
                <c:formatCode>General</c:formatCode>
                <c:ptCount val="100"/>
                <c:pt idx="0">
                  <c:v>5.2739362807849639E-2</c:v>
                </c:pt>
                <c:pt idx="1">
                  <c:v>6.4513892570844389E-2</c:v>
                </c:pt>
                <c:pt idx="2">
                  <c:v>9.6873987926520619E-2</c:v>
                </c:pt>
                <c:pt idx="3">
                  <c:v>0.114482320302601</c:v>
                </c:pt>
                <c:pt idx="4">
                  <c:v>0.11731301052307394</c:v>
                </c:pt>
                <c:pt idx="5">
                  <c:v>0.16701728520350392</c:v>
                </c:pt>
                <c:pt idx="6">
                  <c:v>0.17085782725523177</c:v>
                </c:pt>
                <c:pt idx="7">
                  <c:v>0.17464836755413163</c:v>
                </c:pt>
                <c:pt idx="8">
                  <c:v>0.18940314506977615</c:v>
                </c:pt>
                <c:pt idx="9">
                  <c:v>0.19014742844374474</c:v>
                </c:pt>
                <c:pt idx="10">
                  <c:v>0.21248179120055127</c:v>
                </c:pt>
                <c:pt idx="11">
                  <c:v>0.22345307054006699</c:v>
                </c:pt>
                <c:pt idx="12">
                  <c:v>0.24094115624206469</c:v>
                </c:pt>
                <c:pt idx="13">
                  <c:v>0.24889921301783835</c:v>
                </c:pt>
                <c:pt idx="14">
                  <c:v>0.25961520043073827</c:v>
                </c:pt>
                <c:pt idx="15">
                  <c:v>0.26900162460432275</c:v>
                </c:pt>
                <c:pt idx="16">
                  <c:v>0.27558914341409996</c:v>
                </c:pt>
                <c:pt idx="17">
                  <c:v>0.27917979061296966</c:v>
                </c:pt>
                <c:pt idx="18">
                  <c:v>0.27948866030575642</c:v>
                </c:pt>
                <c:pt idx="19">
                  <c:v>0.28049045541448381</c:v>
                </c:pt>
                <c:pt idx="20">
                  <c:v>0.28986579524147899</c:v>
                </c:pt>
                <c:pt idx="21">
                  <c:v>0.2970631845881222</c:v>
                </c:pt>
                <c:pt idx="22">
                  <c:v>0.3025984525453228</c:v>
                </c:pt>
                <c:pt idx="23">
                  <c:v>0.31250096173783815</c:v>
                </c:pt>
                <c:pt idx="24">
                  <c:v>0.31328823368266201</c:v>
                </c:pt>
                <c:pt idx="25">
                  <c:v>0.31633392043767711</c:v>
                </c:pt>
                <c:pt idx="26">
                  <c:v>0.32433736289849258</c:v>
                </c:pt>
                <c:pt idx="27">
                  <c:v>0.32634472705143963</c:v>
                </c:pt>
                <c:pt idx="28">
                  <c:v>0.32964882721310163</c:v>
                </c:pt>
                <c:pt idx="29">
                  <c:v>0.33929943234802873</c:v>
                </c:pt>
                <c:pt idx="30">
                  <c:v>0.34115913232031897</c:v>
                </c:pt>
                <c:pt idx="31">
                  <c:v>0.34352236609067671</c:v>
                </c:pt>
                <c:pt idx="32">
                  <c:v>0.35253939299699605</c:v>
                </c:pt>
                <c:pt idx="33">
                  <c:v>0.3638709830285784</c:v>
                </c:pt>
                <c:pt idx="34">
                  <c:v>0.37896483725158137</c:v>
                </c:pt>
                <c:pt idx="35">
                  <c:v>0.38136124330877047</c:v>
                </c:pt>
                <c:pt idx="36">
                  <c:v>0.38687938172719277</c:v>
                </c:pt>
                <c:pt idx="37">
                  <c:v>0.39348610453322019</c:v>
                </c:pt>
                <c:pt idx="38">
                  <c:v>0.3940433504802342</c:v>
                </c:pt>
                <c:pt idx="39">
                  <c:v>0.39517310826496083</c:v>
                </c:pt>
                <c:pt idx="40">
                  <c:v>0.39580430677217288</c:v>
                </c:pt>
                <c:pt idx="41">
                  <c:v>0.39632870896010769</c:v>
                </c:pt>
                <c:pt idx="42">
                  <c:v>0.39852408330555494</c:v>
                </c:pt>
                <c:pt idx="43">
                  <c:v>0.39863443649661601</c:v>
                </c:pt>
                <c:pt idx="44">
                  <c:v>0.39893250727694823</c:v>
                </c:pt>
                <c:pt idx="45">
                  <c:v>0.39893414349196948</c:v>
                </c:pt>
                <c:pt idx="46">
                  <c:v>0.39892021256891297</c:v>
                </c:pt>
                <c:pt idx="47">
                  <c:v>0.39864040828917247</c:v>
                </c:pt>
                <c:pt idx="48">
                  <c:v>0.39859615279974869</c:v>
                </c:pt>
                <c:pt idx="49">
                  <c:v>0.39688652854551792</c:v>
                </c:pt>
                <c:pt idx="50">
                  <c:v>0.39485553253291222</c:v>
                </c:pt>
                <c:pt idx="51">
                  <c:v>0.39415309087849171</c:v>
                </c:pt>
                <c:pt idx="52">
                  <c:v>0.39354674109143284</c:v>
                </c:pt>
                <c:pt idx="53">
                  <c:v>0.39211193618985951</c:v>
                </c:pt>
                <c:pt idx="54">
                  <c:v>0.38943286280453965</c:v>
                </c:pt>
                <c:pt idx="55">
                  <c:v>0.3840762294567458</c:v>
                </c:pt>
                <c:pt idx="56">
                  <c:v>0.38237211678417471</c:v>
                </c:pt>
                <c:pt idx="57">
                  <c:v>0.38208645610638658</c:v>
                </c:pt>
                <c:pt idx="58">
                  <c:v>0.37801435574102038</c:v>
                </c:pt>
                <c:pt idx="59">
                  <c:v>0.37687672540617706</c:v>
                </c:pt>
                <c:pt idx="60">
                  <c:v>0.37319963963271036</c:v>
                </c:pt>
                <c:pt idx="61">
                  <c:v>0.37272942261432934</c:v>
                </c:pt>
                <c:pt idx="62">
                  <c:v>0.37062842606006541</c:v>
                </c:pt>
                <c:pt idx="63">
                  <c:v>0.36982623523675684</c:v>
                </c:pt>
                <c:pt idx="64">
                  <c:v>0.36916891658545681</c:v>
                </c:pt>
                <c:pt idx="65">
                  <c:v>0.36819938563478527</c:v>
                </c:pt>
                <c:pt idx="66">
                  <c:v>0.36632478807938446</c:v>
                </c:pt>
                <c:pt idx="67">
                  <c:v>0.36014588791588759</c:v>
                </c:pt>
                <c:pt idx="68">
                  <c:v>0.35714653402611035</c:v>
                </c:pt>
                <c:pt idx="69">
                  <c:v>0.35463838587224233</c:v>
                </c:pt>
                <c:pt idx="70">
                  <c:v>0.35062162440603961</c:v>
                </c:pt>
                <c:pt idx="71">
                  <c:v>0.34732220966199556</c:v>
                </c:pt>
                <c:pt idx="72">
                  <c:v>0.34413835799141868</c:v>
                </c:pt>
                <c:pt idx="73">
                  <c:v>0.3285504275902299</c:v>
                </c:pt>
                <c:pt idx="74">
                  <c:v>0.32849363149485661</c:v>
                </c:pt>
                <c:pt idx="75">
                  <c:v>0.32421964715295643</c:v>
                </c:pt>
                <c:pt idx="76">
                  <c:v>0.3237667354210606</c:v>
                </c:pt>
                <c:pt idx="77">
                  <c:v>0.30762658499701429</c:v>
                </c:pt>
                <c:pt idx="78">
                  <c:v>0.29964560781279193</c:v>
                </c:pt>
                <c:pt idx="79">
                  <c:v>0.2918792833345521</c:v>
                </c:pt>
                <c:pt idx="80">
                  <c:v>0.28452160031204254</c:v>
                </c:pt>
                <c:pt idx="81">
                  <c:v>0.28255461460608039</c:v>
                </c:pt>
                <c:pt idx="82">
                  <c:v>0.27668893363204611</c:v>
                </c:pt>
                <c:pt idx="83">
                  <c:v>0.27619201470524679</c:v>
                </c:pt>
                <c:pt idx="84">
                  <c:v>0.27064775166267896</c:v>
                </c:pt>
                <c:pt idx="85">
                  <c:v>0.25368169540665075</c:v>
                </c:pt>
                <c:pt idx="86">
                  <c:v>0.24833516086594934</c:v>
                </c:pt>
                <c:pt idx="87">
                  <c:v>0.23958888992099495</c:v>
                </c:pt>
                <c:pt idx="88">
                  <c:v>0.21038368115419329</c:v>
                </c:pt>
                <c:pt idx="89">
                  <c:v>0.2099346317866731</c:v>
                </c:pt>
                <c:pt idx="90">
                  <c:v>0.20865196434540145</c:v>
                </c:pt>
                <c:pt idx="91">
                  <c:v>0.20655916960344725</c:v>
                </c:pt>
                <c:pt idx="92">
                  <c:v>0.17757538890898961</c:v>
                </c:pt>
                <c:pt idx="93">
                  <c:v>0.16004787214906485</c:v>
                </c:pt>
                <c:pt idx="94">
                  <c:v>0.1392388267983807</c:v>
                </c:pt>
                <c:pt idx="95">
                  <c:v>0.13247487532943497</c:v>
                </c:pt>
                <c:pt idx="96">
                  <c:v>8.1501112349304489E-2</c:v>
                </c:pt>
                <c:pt idx="97">
                  <c:v>7.2308462320122072E-2</c:v>
                </c:pt>
                <c:pt idx="98">
                  <c:v>5.3106997488395577E-2</c:v>
                </c:pt>
                <c:pt idx="99">
                  <c:v>1.1273589486864079E-2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3466432"/>
        <c:axId val="983466976"/>
      </c:scatterChart>
      <c:valAx>
        <c:axId val="98346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3466976"/>
        <c:crosses val="autoZero"/>
        <c:crossBetween val="midCat"/>
      </c:valAx>
      <c:valAx>
        <c:axId val="98346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346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интегральный массив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Лист1!$AA$5:$AA$15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Лист1!$AB$5:$AB$15</c:f>
              <c:numCache>
                <c:formatCode>General</c:formatCode>
                <c:ptCount val="11"/>
                <c:pt idx="0">
                  <c:v>9.5367431640625E-7</c:v>
                </c:pt>
                <c:pt idx="1">
                  <c:v>2.9563903808593753E-5</c:v>
                </c:pt>
                <c:pt idx="2">
                  <c:v>4.1580200195312516E-4</c:v>
                </c:pt>
                <c:pt idx="3">
                  <c:v>3.5057067871093772E-3</c:v>
                </c:pt>
                <c:pt idx="4">
                  <c:v>1.9727706909179688E-2</c:v>
                </c:pt>
                <c:pt idx="5">
                  <c:v>7.812690734863284E-2</c:v>
                </c:pt>
                <c:pt idx="6">
                  <c:v>0.22412490844726568</c:v>
                </c:pt>
                <c:pt idx="7">
                  <c:v>0.47440719604492199</c:v>
                </c:pt>
                <c:pt idx="8">
                  <c:v>0.75597476959228516</c:v>
                </c:pt>
                <c:pt idx="9">
                  <c:v>0.94368648529052734</c:v>
                </c:pt>
                <c:pt idx="1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3470240"/>
        <c:axId val="983469152"/>
      </c:scatterChart>
      <c:valAx>
        <c:axId val="98347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3469152"/>
        <c:crosses val="autoZero"/>
        <c:crossBetween val="midCat"/>
      </c:valAx>
      <c:valAx>
        <c:axId val="98346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3470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Дифференциальный массив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Лист1!$AA$5:$AA$15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Лист1!$AC$5:$AC$15</c:f>
              <c:numCache>
                <c:formatCode>General</c:formatCode>
                <c:ptCount val="11"/>
                <c:pt idx="0">
                  <c:v>9.5367431640625E-7</c:v>
                </c:pt>
                <c:pt idx="1">
                  <c:v>2.861022949218752E-5</c:v>
                </c:pt>
                <c:pt idx="2">
                  <c:v>3.8623809814453152E-4</c:v>
                </c:pt>
                <c:pt idx="3">
                  <c:v>3.0899047851562539E-3</c:v>
                </c:pt>
                <c:pt idx="4">
                  <c:v>1.6222000122070326E-2</c:v>
                </c:pt>
                <c:pt idx="5">
                  <c:v>5.839920043945316E-2</c:v>
                </c:pt>
                <c:pt idx="6">
                  <c:v>0.14599800109863281</c:v>
                </c:pt>
                <c:pt idx="7">
                  <c:v>0.25028228759765625</c:v>
                </c:pt>
                <c:pt idx="8">
                  <c:v>0.28156757354736334</c:v>
                </c:pt>
                <c:pt idx="9">
                  <c:v>0.18771171569824219</c:v>
                </c:pt>
                <c:pt idx="10">
                  <c:v>5.6313514709472684E-2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3468064"/>
        <c:axId val="983468608"/>
      </c:scatterChart>
      <c:valAx>
        <c:axId val="98346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3468608"/>
        <c:crosses val="autoZero"/>
        <c:crossBetween val="midCat"/>
      </c:valAx>
      <c:valAx>
        <c:axId val="98346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3468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интегральный</a:t>
            </a:r>
            <a:r>
              <a:rPr lang="ru-RU" baseline="0"/>
              <a:t> массив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Лист1!$AI$5:$AI$15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Лист1!$AJ$5:$AJ$15</c:f>
              <c:numCache>
                <c:formatCode>General</c:formatCode>
                <c:ptCount val="11"/>
                <c:pt idx="0">
                  <c:v>0.36787944117144233</c:v>
                </c:pt>
                <c:pt idx="1">
                  <c:v>0.73575888234288478</c:v>
                </c:pt>
                <c:pt idx="2">
                  <c:v>0.91969860292860584</c:v>
                </c:pt>
                <c:pt idx="3">
                  <c:v>0.98101184312384615</c:v>
                </c:pt>
                <c:pt idx="4">
                  <c:v>0.99634015317265634</c:v>
                </c:pt>
                <c:pt idx="5">
                  <c:v>0.99940581518241833</c:v>
                </c:pt>
                <c:pt idx="6">
                  <c:v>0.99991675885071196</c:v>
                </c:pt>
                <c:pt idx="7">
                  <c:v>0.99998975080332531</c:v>
                </c:pt>
                <c:pt idx="8">
                  <c:v>0.99999887479740202</c:v>
                </c:pt>
                <c:pt idx="9">
                  <c:v>0.9999998885745216</c:v>
                </c:pt>
                <c:pt idx="10">
                  <c:v>0.9999999899522336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3469696"/>
        <c:axId val="880724992"/>
      </c:scatterChart>
      <c:valAx>
        <c:axId val="983469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80724992"/>
        <c:crosses val="autoZero"/>
        <c:crossBetween val="midCat"/>
      </c:valAx>
      <c:valAx>
        <c:axId val="88072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3469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дифференциальны</a:t>
            </a:r>
            <a:r>
              <a:rPr lang="ru-RU" baseline="0"/>
              <a:t>й массив значений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Лист1!$AI$5:$AI$15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Лист1!$AK$5:$AK$15</c:f>
              <c:numCache>
                <c:formatCode>General</c:formatCode>
                <c:ptCount val="11"/>
                <c:pt idx="0">
                  <c:v>0.36787944117144233</c:v>
                </c:pt>
                <c:pt idx="1">
                  <c:v>0.36787944117144233</c:v>
                </c:pt>
                <c:pt idx="2">
                  <c:v>0.18393972058572114</c:v>
                </c:pt>
                <c:pt idx="3">
                  <c:v>6.1313240195240391E-2</c:v>
                </c:pt>
                <c:pt idx="4">
                  <c:v>1.5328310048810094E-2</c:v>
                </c:pt>
                <c:pt idx="5">
                  <c:v>3.06566200976202E-3</c:v>
                </c:pt>
                <c:pt idx="6">
                  <c:v>5.1094366829366978E-4</c:v>
                </c:pt>
                <c:pt idx="7">
                  <c:v>7.2991952613381521E-5</c:v>
                </c:pt>
                <c:pt idx="8">
                  <c:v>9.1239940766726546E-6</c:v>
                </c:pt>
                <c:pt idx="9">
                  <c:v>1.0137771196302961E-6</c:v>
                </c:pt>
                <c:pt idx="10">
                  <c:v>1.013777119630295E-7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729344"/>
        <c:axId val="974367824"/>
      </c:scatterChart>
      <c:valAx>
        <c:axId val="880729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74367824"/>
        <c:crosses val="autoZero"/>
        <c:crossBetween val="midCat"/>
      </c:valAx>
      <c:valAx>
        <c:axId val="97436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80729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10205</xdr:colOff>
      <xdr:row>2</xdr:row>
      <xdr:rowOff>184377</xdr:rowOff>
    </xdr:from>
    <xdr:to>
      <xdr:col>13</xdr:col>
      <xdr:colOff>315005</xdr:colOff>
      <xdr:row>17</xdr:row>
      <xdr:rowOff>70077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20410</xdr:colOff>
      <xdr:row>4</xdr:row>
      <xdr:rowOff>9526</xdr:rowOff>
    </xdr:from>
    <xdr:to>
      <xdr:col>24</xdr:col>
      <xdr:colOff>306160</xdr:colOff>
      <xdr:row>18</xdr:row>
      <xdr:rowOff>85726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20410</xdr:colOff>
      <xdr:row>18</xdr:row>
      <xdr:rowOff>91167</xdr:rowOff>
    </xdr:from>
    <xdr:to>
      <xdr:col>24</xdr:col>
      <xdr:colOff>306160</xdr:colOff>
      <xdr:row>32</xdr:row>
      <xdr:rowOff>167367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34017</xdr:colOff>
      <xdr:row>15</xdr:row>
      <xdr:rowOff>50345</xdr:rowOff>
    </xdr:from>
    <xdr:to>
      <xdr:col>33</xdr:col>
      <xdr:colOff>319767</xdr:colOff>
      <xdr:row>29</xdr:row>
      <xdr:rowOff>126545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34018</xdr:colOff>
      <xdr:row>29</xdr:row>
      <xdr:rowOff>172810</xdr:rowOff>
    </xdr:from>
    <xdr:to>
      <xdr:col>33</xdr:col>
      <xdr:colOff>319768</xdr:colOff>
      <xdr:row>44</xdr:row>
      <xdr:rowOff>58510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34</xdr:col>
      <xdr:colOff>47624</xdr:colOff>
      <xdr:row>15</xdr:row>
      <xdr:rowOff>9524</xdr:rowOff>
    </xdr:from>
    <xdr:to>
      <xdr:col>41</xdr:col>
      <xdr:colOff>333374</xdr:colOff>
      <xdr:row>29</xdr:row>
      <xdr:rowOff>85724</xdr:rowOff>
    </xdr:to>
    <xdr:graphicFrame macro="">
      <xdr:nvGraphicFramePr>
        <xdr:cNvPr id="11" name="Диаграмма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34</xdr:col>
      <xdr:colOff>27215</xdr:colOff>
      <xdr:row>29</xdr:row>
      <xdr:rowOff>91167</xdr:rowOff>
    </xdr:from>
    <xdr:to>
      <xdr:col>41</xdr:col>
      <xdr:colOff>312965</xdr:colOff>
      <xdr:row>43</xdr:row>
      <xdr:rowOff>167367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H123"/>
  <sheetViews>
    <sheetView tabSelected="1" topLeftCell="AK1" zoomScale="85" zoomScaleNormal="85" workbookViewId="0">
      <selection activeCell="BA2" sqref="BA2:BH103"/>
    </sheetView>
  </sheetViews>
  <sheetFormatPr defaultRowHeight="15" x14ac:dyDescent="0.25"/>
  <cols>
    <col min="1" max="4" width="20.7109375" customWidth="1"/>
    <col min="5" max="5" width="9.7109375" customWidth="1"/>
  </cols>
  <sheetData>
    <row r="1" spans="1:60" x14ac:dyDescent="0.25">
      <c r="A1" s="20" t="s">
        <v>4</v>
      </c>
      <c r="B1" s="21"/>
      <c r="C1" s="21"/>
      <c r="D1" s="22"/>
      <c r="E1" s="18" t="s">
        <v>14</v>
      </c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19"/>
      <c r="AQ1" s="20" t="s">
        <v>25</v>
      </c>
      <c r="AR1" s="21"/>
      <c r="AS1" s="21"/>
      <c r="AT1" s="21"/>
      <c r="AU1" s="21"/>
      <c r="AV1" s="21"/>
      <c r="AW1" s="21"/>
      <c r="AX1" s="21"/>
      <c r="AY1" s="21"/>
      <c r="AZ1" s="22"/>
      <c r="BA1" s="23" t="s">
        <v>30</v>
      </c>
      <c r="BB1" s="24"/>
      <c r="BC1" s="24"/>
      <c r="BD1" s="24"/>
      <c r="BE1" s="24"/>
      <c r="BF1" s="24"/>
    </row>
    <row r="2" spans="1:60" x14ac:dyDescent="0.25">
      <c r="A2" s="1" t="s">
        <v>0</v>
      </c>
      <c r="B2" s="1" t="s">
        <v>1</v>
      </c>
      <c r="C2" s="1" t="s">
        <v>2</v>
      </c>
      <c r="D2" s="1" t="s">
        <v>3</v>
      </c>
      <c r="E2" s="20" t="s">
        <v>8</v>
      </c>
      <c r="F2" s="21"/>
      <c r="G2" s="21"/>
      <c r="H2" s="21"/>
      <c r="I2" s="21"/>
      <c r="J2" s="21"/>
      <c r="K2" s="21"/>
      <c r="L2" s="21"/>
      <c r="M2" s="21"/>
      <c r="N2" s="22"/>
      <c r="O2" s="28" t="s">
        <v>11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30"/>
      <c r="AA2" s="20" t="s">
        <v>12</v>
      </c>
      <c r="AB2" s="21"/>
      <c r="AC2" s="21"/>
      <c r="AD2" s="21"/>
      <c r="AE2" s="21"/>
      <c r="AF2" s="21"/>
      <c r="AG2" s="21"/>
      <c r="AH2" s="22"/>
      <c r="AI2" s="20" t="s">
        <v>13</v>
      </c>
      <c r="AJ2" s="21"/>
      <c r="AK2" s="21"/>
      <c r="AL2" s="21"/>
      <c r="AM2" s="21"/>
      <c r="AN2" s="21"/>
      <c r="AO2" s="21"/>
      <c r="AP2" s="22"/>
      <c r="AQ2" s="18" t="s">
        <v>15</v>
      </c>
      <c r="AR2" s="19"/>
      <c r="AS2" s="18" t="s">
        <v>21</v>
      </c>
      <c r="AT2" s="19"/>
      <c r="AU2" s="18" t="s">
        <v>22</v>
      </c>
      <c r="AV2" s="19"/>
      <c r="AW2" s="18" t="s">
        <v>23</v>
      </c>
      <c r="AX2" s="19"/>
      <c r="AY2" s="18" t="s">
        <v>24</v>
      </c>
      <c r="AZ2" s="19"/>
      <c r="BA2" s="20" t="s">
        <v>26</v>
      </c>
      <c r="BB2" s="21"/>
      <c r="BC2" s="21" t="s">
        <v>27</v>
      </c>
      <c r="BD2" s="22"/>
      <c r="BE2" s="14">
        <v>1</v>
      </c>
      <c r="BF2" s="15">
        <v>0.5</v>
      </c>
    </row>
    <row r="3" spans="1:60" x14ac:dyDescent="0.25">
      <c r="A3" s="2">
        <v>3.0520035401470991</v>
      </c>
      <c r="B3" s="2">
        <v>-2.0116931409575045</v>
      </c>
      <c r="C3" s="2">
        <v>6</v>
      </c>
      <c r="D3" s="2">
        <v>0</v>
      </c>
      <c r="E3" s="25" t="s">
        <v>5</v>
      </c>
      <c r="F3" s="26"/>
      <c r="G3" s="26"/>
      <c r="H3" s="5"/>
      <c r="I3" s="5"/>
      <c r="J3" s="5"/>
      <c r="K3" s="5"/>
      <c r="L3" s="5"/>
      <c r="M3" s="5"/>
      <c r="N3" s="7"/>
      <c r="O3" s="16" t="s">
        <v>9</v>
      </c>
      <c r="P3" s="27"/>
      <c r="Q3" s="27"/>
      <c r="R3" s="5"/>
      <c r="S3" s="5"/>
      <c r="T3" s="5"/>
      <c r="U3" s="5"/>
      <c r="V3" s="5"/>
      <c r="W3" s="5"/>
      <c r="X3" s="5"/>
      <c r="Y3" s="5"/>
      <c r="Z3" s="7"/>
      <c r="AA3" s="16" t="s">
        <v>9</v>
      </c>
      <c r="AB3" s="27"/>
      <c r="AC3" s="27"/>
      <c r="AD3" s="5"/>
      <c r="AE3" s="5"/>
      <c r="AF3" s="5"/>
      <c r="AG3" s="5"/>
      <c r="AH3" s="7"/>
      <c r="AI3" s="16" t="s">
        <v>9</v>
      </c>
      <c r="AJ3" s="27"/>
      <c r="AK3" s="27"/>
      <c r="AL3" s="5"/>
      <c r="AM3" s="5"/>
      <c r="AN3" s="5"/>
      <c r="AO3" s="5"/>
      <c r="AP3" s="7"/>
      <c r="AQ3" s="16"/>
      <c r="AR3" s="32"/>
      <c r="AS3" s="11" t="s">
        <v>16</v>
      </c>
      <c r="AT3" s="7" t="s">
        <v>17</v>
      </c>
      <c r="AU3" s="11" t="s">
        <v>16</v>
      </c>
      <c r="AV3" s="7" t="s">
        <v>17</v>
      </c>
      <c r="AW3" s="6" t="s">
        <v>16</v>
      </c>
      <c r="AX3" s="13" t="s">
        <v>17</v>
      </c>
      <c r="AY3" s="6" t="s">
        <v>16</v>
      </c>
      <c r="AZ3" s="13" t="s">
        <v>17</v>
      </c>
      <c r="BB3" s="6" t="s">
        <v>28</v>
      </c>
      <c r="BC3" s="13" t="s">
        <v>29</v>
      </c>
      <c r="BE3" s="12">
        <v>0</v>
      </c>
      <c r="BF3" s="10">
        <v>0.5</v>
      </c>
    </row>
    <row r="4" spans="1:60" x14ac:dyDescent="0.25">
      <c r="A4" s="2">
        <v>3.0656758323923459</v>
      </c>
      <c r="B4" s="2">
        <v>-1.9088929548161104</v>
      </c>
      <c r="C4" s="2">
        <v>8</v>
      </c>
      <c r="D4" s="2">
        <v>0</v>
      </c>
      <c r="E4" s="4" t="s">
        <v>6</v>
      </c>
      <c r="F4" s="5" t="s">
        <v>7</v>
      </c>
      <c r="G4" s="5"/>
      <c r="H4" s="5"/>
      <c r="I4" s="5"/>
      <c r="J4" s="5"/>
      <c r="K4" s="5"/>
      <c r="L4" s="5"/>
      <c r="M4" s="5"/>
      <c r="N4" s="7"/>
      <c r="O4" s="11" t="s">
        <v>6</v>
      </c>
      <c r="P4" s="5" t="s">
        <v>7</v>
      </c>
      <c r="Q4" s="5" t="s">
        <v>10</v>
      </c>
      <c r="R4" s="5"/>
      <c r="S4" s="5"/>
      <c r="T4" s="5"/>
      <c r="U4" s="5"/>
      <c r="V4" s="5"/>
      <c r="W4" s="5"/>
      <c r="X4" s="5"/>
      <c r="Y4" s="5"/>
      <c r="Z4" s="7"/>
      <c r="AA4" s="11" t="s">
        <v>6</v>
      </c>
      <c r="AB4" s="5" t="s">
        <v>7</v>
      </c>
      <c r="AC4" s="5" t="s">
        <v>10</v>
      </c>
      <c r="AD4" s="5"/>
      <c r="AE4" s="5"/>
      <c r="AF4" s="5"/>
      <c r="AG4" s="5"/>
      <c r="AH4" s="7"/>
      <c r="AI4" s="11" t="s">
        <v>6</v>
      </c>
      <c r="AJ4" s="5" t="s">
        <v>7</v>
      </c>
      <c r="AK4" s="5" t="s">
        <v>10</v>
      </c>
      <c r="AL4" s="5"/>
      <c r="AM4" s="5"/>
      <c r="AN4" s="5"/>
      <c r="AO4" s="5"/>
      <c r="AP4" s="7"/>
      <c r="AQ4" s="16" t="s">
        <v>18</v>
      </c>
      <c r="AR4" s="27"/>
      <c r="AS4" s="11">
        <v>7</v>
      </c>
      <c r="AT4" s="7">
        <f>AVERAGE(A3:A102)</f>
        <v>6.6402356028931582</v>
      </c>
      <c r="AU4" s="11">
        <v>0</v>
      </c>
      <c r="AV4" s="7">
        <f>AVERAGE(B3:B102)</f>
        <v>3.686296849991777E-2</v>
      </c>
      <c r="AW4" s="11">
        <v>1</v>
      </c>
      <c r="AX4" s="7">
        <f>AVERAGE(D3:D102)</f>
        <v>0.9</v>
      </c>
      <c r="AY4" s="11">
        <f>10*0.75</f>
        <v>7.5</v>
      </c>
      <c r="AZ4" s="7">
        <f>AVERAGE(C3:C102)</f>
        <v>7.52</v>
      </c>
      <c r="BB4" s="11">
        <v>1</v>
      </c>
      <c r="BC4" s="7">
        <v>1</v>
      </c>
    </row>
    <row r="5" spans="1:60" x14ac:dyDescent="0.25">
      <c r="A5" s="2">
        <v>3.1452681051057465</v>
      </c>
      <c r="B5" s="2">
        <v>-1.6825015336507931</v>
      </c>
      <c r="C5" s="2">
        <v>8</v>
      </c>
      <c r="D5" s="2">
        <v>0</v>
      </c>
      <c r="E5" s="6">
        <v>0.1</v>
      </c>
      <c r="F5" s="5">
        <f t="array" ref="F5:F123">plot_data_even_int(E5:E123,3,11)</f>
        <v>0</v>
      </c>
      <c r="G5" s="5"/>
      <c r="H5" s="5"/>
      <c r="I5" s="5"/>
      <c r="J5" s="5"/>
      <c r="K5" s="5"/>
      <c r="L5" s="5"/>
      <c r="M5" s="5"/>
      <c r="N5" s="7"/>
      <c r="O5" s="11">
        <v>-2.0116931409575045</v>
      </c>
      <c r="P5" s="5">
        <f t="array" ref="P5:P104">_xlfn.NORM.DIST(O5:O104,0,1,1)</f>
        <v>2.212614705089953E-2</v>
      </c>
      <c r="Q5" s="5">
        <f t="array" ref="Q5:Q104">_xlfn.NORM.DIST(O5:O104,0,1,0)</f>
        <v>5.2739362807849639E-2</v>
      </c>
      <c r="R5" s="5"/>
      <c r="S5" s="5"/>
      <c r="T5" s="5"/>
      <c r="U5" s="5"/>
      <c r="V5" s="5"/>
      <c r="W5" s="5"/>
      <c r="X5" s="5"/>
      <c r="Y5" s="5"/>
      <c r="Z5" s="7"/>
      <c r="AA5" s="11">
        <v>0</v>
      </c>
      <c r="AB5" s="5">
        <f t="array" ref="AB5:AB15">BINOMDIST(AA5:AA15,10,0.75,1)</f>
        <v>9.5367431640625E-7</v>
      </c>
      <c r="AC5" s="5">
        <f t="array" ref="AC5:AC15">BINOMDIST(AA5:AA15,10,0.75,0)</f>
        <v>9.5367431640625E-7</v>
      </c>
      <c r="AD5" s="5"/>
      <c r="AE5" s="5"/>
      <c r="AF5" s="5"/>
      <c r="AG5" s="5"/>
      <c r="AH5" s="7"/>
      <c r="AI5" s="11">
        <v>0</v>
      </c>
      <c r="AJ5" s="5">
        <f t="array" ref="AJ5:AJ15">POISSON(AI5:AI15,1,1)</f>
        <v>0.36787944117144233</v>
      </c>
      <c r="AK5" s="5">
        <f t="array" ref="AK5:AK15">POISSON(AI5:AI15,1,0)</f>
        <v>0.36787944117144233</v>
      </c>
      <c r="AL5" s="5"/>
      <c r="AM5" s="5"/>
      <c r="AN5" s="5"/>
      <c r="AO5" s="5"/>
      <c r="AP5" s="7"/>
      <c r="AQ5" s="16" t="s">
        <v>19</v>
      </c>
      <c r="AR5" s="27"/>
      <c r="AS5" s="11">
        <f>even_dispersion(3,11)</f>
        <v>5.333333333333333</v>
      </c>
      <c r="AT5" s="7">
        <f>_xlfn.VAR.S(A3:A102)</f>
        <v>4.8199848226076298</v>
      </c>
      <c r="AU5" s="11">
        <v>1</v>
      </c>
      <c r="AV5" s="7">
        <f>_xlfn.VAR.S(B3:B102)</f>
        <v>0.82932621685107077</v>
      </c>
      <c r="AW5" s="11">
        <v>1</v>
      </c>
      <c r="AX5" s="7">
        <f>_xlfn.VAR.S(D3:D102)</f>
        <v>0.77777777777777779</v>
      </c>
      <c r="AY5" s="11">
        <f>10*0.75*0.25</f>
        <v>1.875</v>
      </c>
      <c r="AZ5" s="7">
        <f>_xlfn.VAR.S(C3:C102)</f>
        <v>1.4642424242424246</v>
      </c>
      <c r="BB5" s="11">
        <v>1</v>
      </c>
      <c r="BC5" s="7">
        <v>0</v>
      </c>
      <c r="BD5" s="16" t="s">
        <v>31</v>
      </c>
      <c r="BE5" s="17"/>
      <c r="BF5" s="17"/>
      <c r="BG5" s="17"/>
      <c r="BH5">
        <f>COUNTIF(BB4:BB103,"=1")</f>
        <v>48</v>
      </c>
    </row>
    <row r="6" spans="1:60" x14ac:dyDescent="0.25">
      <c r="A6" s="2">
        <v>3.2050843836787011</v>
      </c>
      <c r="B6" s="2">
        <v>-1.5801242625457235</v>
      </c>
      <c r="C6" s="2">
        <v>8</v>
      </c>
      <c r="D6" s="2">
        <v>1</v>
      </c>
      <c r="E6" s="4">
        <v>0.2</v>
      </c>
      <c r="F6" s="5">
        <v>0</v>
      </c>
      <c r="G6" s="5"/>
      <c r="H6" s="5"/>
      <c r="I6" s="5"/>
      <c r="J6" s="5"/>
      <c r="K6" s="5"/>
      <c r="L6" s="5"/>
      <c r="M6" s="5"/>
      <c r="N6" s="7"/>
      <c r="O6" s="11">
        <v>-1.9088929548161104</v>
      </c>
      <c r="P6" s="5">
        <v>2.8137951029148511E-2</v>
      </c>
      <c r="Q6" s="5">
        <v>6.4513892570844389E-2</v>
      </c>
      <c r="R6" s="5"/>
      <c r="S6" s="5"/>
      <c r="T6" s="5"/>
      <c r="U6" s="5"/>
      <c r="V6" s="5"/>
      <c r="W6" s="5"/>
      <c r="X6" s="5"/>
      <c r="Y6" s="5"/>
      <c r="Z6" s="7"/>
      <c r="AA6" s="11">
        <v>1</v>
      </c>
      <c r="AB6" s="5">
        <v>2.9563903808593753E-5</v>
      </c>
      <c r="AC6" s="5">
        <v>2.861022949218752E-5</v>
      </c>
      <c r="AD6" s="5"/>
      <c r="AE6" s="5"/>
      <c r="AF6" s="5"/>
      <c r="AG6" s="5"/>
      <c r="AH6" s="7"/>
      <c r="AI6" s="11">
        <v>1</v>
      </c>
      <c r="AJ6" s="5">
        <v>0.73575888234288478</v>
      </c>
      <c r="AK6" s="5">
        <v>0.36787944117144233</v>
      </c>
      <c r="AL6" s="5"/>
      <c r="AM6" s="5"/>
      <c r="AN6" s="5"/>
      <c r="AO6" s="5"/>
      <c r="AP6" s="7"/>
      <c r="AQ6" s="23" t="s">
        <v>20</v>
      </c>
      <c r="AR6" s="24"/>
      <c r="AS6" s="12">
        <v>7</v>
      </c>
      <c r="AT6" s="10">
        <f>MEDIAN(A3:A102)</f>
        <v>6.3324991607409888</v>
      </c>
      <c r="AU6" s="12">
        <v>0</v>
      </c>
      <c r="AV6" s="10">
        <f>MEDIAN(B3:B102)</f>
        <v>0.1225771484314464</v>
      </c>
      <c r="AW6" s="12">
        <f>poisson_median(1)</f>
        <v>1.3133333333333332</v>
      </c>
      <c r="AX6" s="10">
        <f>MEDIAN(D3:D102)</f>
        <v>1</v>
      </c>
      <c r="AY6" s="12">
        <f>10*0.75</f>
        <v>7.5</v>
      </c>
      <c r="AZ6" s="10">
        <f>MEDIAN(C3:C102)</f>
        <v>8</v>
      </c>
      <c r="BB6" s="11">
        <v>1</v>
      </c>
      <c r="BC6" s="7">
        <v>0</v>
      </c>
      <c r="BD6" s="16" t="s">
        <v>32</v>
      </c>
      <c r="BE6" s="17"/>
      <c r="BF6" s="17"/>
      <c r="BG6" s="17"/>
      <c r="BH6">
        <f>100-BH5</f>
        <v>52</v>
      </c>
    </row>
    <row r="7" spans="1:60" x14ac:dyDescent="0.25">
      <c r="A7" s="2">
        <v>3.2412182988982816</v>
      </c>
      <c r="B7" s="2">
        <v>-1.5645900930394419</v>
      </c>
      <c r="C7" s="2">
        <v>6</v>
      </c>
      <c r="D7" s="2">
        <v>1</v>
      </c>
      <c r="E7" s="6">
        <v>0.3</v>
      </c>
      <c r="F7" s="5">
        <v>0</v>
      </c>
      <c r="G7" s="5"/>
      <c r="H7" s="5"/>
      <c r="I7" s="5"/>
      <c r="J7" s="5"/>
      <c r="K7" s="5"/>
      <c r="L7" s="5"/>
      <c r="M7" s="5"/>
      <c r="N7" s="7"/>
      <c r="O7" s="11">
        <v>-1.6825015336507931</v>
      </c>
      <c r="P7" s="5">
        <v>4.6235813889513047E-2</v>
      </c>
      <c r="Q7" s="5">
        <v>9.6873987926520619E-2</v>
      </c>
      <c r="R7" s="5"/>
      <c r="S7" s="5"/>
      <c r="T7" s="5"/>
      <c r="U7" s="5"/>
      <c r="V7" s="5"/>
      <c r="W7" s="5"/>
      <c r="X7" s="5"/>
      <c r="Y7" s="5"/>
      <c r="Z7" s="7"/>
      <c r="AA7" s="11">
        <v>2</v>
      </c>
      <c r="AB7" s="5">
        <v>4.1580200195312516E-4</v>
      </c>
      <c r="AC7" s="5">
        <v>3.8623809814453152E-4</v>
      </c>
      <c r="AD7" s="5"/>
      <c r="AE7" s="5"/>
      <c r="AF7" s="5"/>
      <c r="AG7" s="5"/>
      <c r="AH7" s="7"/>
      <c r="AI7" s="11">
        <v>2</v>
      </c>
      <c r="AJ7" s="5">
        <v>0.91969860292860584</v>
      </c>
      <c r="AK7" s="5">
        <v>0.18393972058572114</v>
      </c>
      <c r="AL7" s="5"/>
      <c r="AM7" s="5"/>
      <c r="AN7" s="5"/>
      <c r="AO7" s="5"/>
      <c r="AP7" s="7"/>
      <c r="BB7" s="11">
        <v>1</v>
      </c>
      <c r="BC7" s="7">
        <v>1</v>
      </c>
      <c r="BD7" s="16" t="s">
        <v>33</v>
      </c>
      <c r="BE7" s="17"/>
      <c r="BF7" s="17"/>
      <c r="BG7" s="17"/>
      <c r="BH7">
        <f>COUNTIF(BC4:BC103,"=1")</f>
        <v>56</v>
      </c>
    </row>
    <row r="8" spans="1:60" x14ac:dyDescent="0.25">
      <c r="A8" s="2">
        <v>3.2590411084322644</v>
      </c>
      <c r="B8" s="2">
        <v>-1.3196358850109391</v>
      </c>
      <c r="C8" s="2">
        <v>7</v>
      </c>
      <c r="D8" s="2">
        <v>0</v>
      </c>
      <c r="E8" s="4">
        <v>0.4</v>
      </c>
      <c r="F8" s="5">
        <v>0</v>
      </c>
      <c r="G8" s="5"/>
      <c r="H8" s="5"/>
      <c r="I8" s="5"/>
      <c r="J8" s="5"/>
      <c r="K8" s="5"/>
      <c r="L8" s="5"/>
      <c r="M8" s="5"/>
      <c r="N8" s="7"/>
      <c r="O8" s="11">
        <v>-1.5801242625457235</v>
      </c>
      <c r="P8" s="5">
        <v>5.7039205976512158E-2</v>
      </c>
      <c r="Q8" s="5">
        <v>0.114482320302601</v>
      </c>
      <c r="R8" s="5"/>
      <c r="S8" s="5"/>
      <c r="T8" s="5"/>
      <c r="U8" s="5"/>
      <c r="V8" s="5"/>
      <c r="W8" s="5"/>
      <c r="X8" s="5"/>
      <c r="Y8" s="5"/>
      <c r="Z8" s="7"/>
      <c r="AA8" s="11">
        <v>3</v>
      </c>
      <c r="AB8" s="5">
        <v>3.5057067871093772E-3</v>
      </c>
      <c r="AC8" s="5">
        <v>3.0899047851562539E-3</v>
      </c>
      <c r="AD8" s="5"/>
      <c r="AE8" s="5"/>
      <c r="AF8" s="5"/>
      <c r="AG8" s="5"/>
      <c r="AH8" s="7"/>
      <c r="AI8" s="11">
        <v>3</v>
      </c>
      <c r="AJ8" s="5">
        <v>0.98101184312384615</v>
      </c>
      <c r="AK8" s="5">
        <v>6.1313240195240391E-2</v>
      </c>
      <c r="AL8" s="5"/>
      <c r="AM8" s="5"/>
      <c r="AN8" s="5"/>
      <c r="AO8" s="5"/>
      <c r="AP8" s="7"/>
      <c r="BB8" s="11">
        <v>0</v>
      </c>
      <c r="BC8" s="7">
        <v>0</v>
      </c>
      <c r="BD8" s="16" t="s">
        <v>34</v>
      </c>
      <c r="BE8" s="17"/>
      <c r="BF8" s="17"/>
      <c r="BG8" s="17"/>
      <c r="BH8">
        <f xml:space="preserve"> 100 -BH7</f>
        <v>44</v>
      </c>
    </row>
    <row r="9" spans="1:60" x14ac:dyDescent="0.25">
      <c r="A9" s="2">
        <v>3.4697408978545488</v>
      </c>
      <c r="B9" s="2">
        <v>-1.3022940947848838</v>
      </c>
      <c r="C9" s="2">
        <v>8</v>
      </c>
      <c r="D9" s="2">
        <v>0</v>
      </c>
      <c r="E9" s="6">
        <v>0.5</v>
      </c>
      <c r="F9" s="5">
        <v>0</v>
      </c>
      <c r="G9" s="5"/>
      <c r="H9" s="5"/>
      <c r="I9" s="5"/>
      <c r="J9" s="5"/>
      <c r="K9" s="5"/>
      <c r="L9" s="5"/>
      <c r="M9" s="5"/>
      <c r="N9" s="7"/>
      <c r="O9" s="11">
        <v>-1.5645900930394419</v>
      </c>
      <c r="P9" s="5">
        <v>5.8839526656504756E-2</v>
      </c>
      <c r="Q9" s="5">
        <v>0.11731301052307394</v>
      </c>
      <c r="R9" s="5"/>
      <c r="S9" s="5"/>
      <c r="T9" s="5"/>
      <c r="U9" s="5"/>
      <c r="V9" s="5"/>
      <c r="W9" s="5"/>
      <c r="X9" s="5"/>
      <c r="Y9" s="5"/>
      <c r="Z9" s="7"/>
      <c r="AA9" s="11">
        <v>4</v>
      </c>
      <c r="AB9" s="5">
        <v>1.9727706909179688E-2</v>
      </c>
      <c r="AC9" s="5">
        <v>1.6222000122070326E-2</v>
      </c>
      <c r="AD9" s="5"/>
      <c r="AE9" s="5"/>
      <c r="AF9" s="5"/>
      <c r="AG9" s="5"/>
      <c r="AH9" s="7"/>
      <c r="AI9" s="11">
        <v>4</v>
      </c>
      <c r="AJ9" s="5">
        <v>0.99634015317265634</v>
      </c>
      <c r="AK9" s="5">
        <v>1.5328310048810094E-2</v>
      </c>
      <c r="AL9" s="5"/>
      <c r="AM9" s="5"/>
      <c r="AN9" s="5"/>
      <c r="AO9" s="5"/>
      <c r="AP9" s="7"/>
      <c r="BB9" s="11">
        <v>0</v>
      </c>
      <c r="BC9" s="7">
        <v>1</v>
      </c>
    </row>
    <row r="10" spans="1:60" x14ac:dyDescent="0.25">
      <c r="A10" s="2">
        <v>3.6035340433973206</v>
      </c>
      <c r="B10" s="2">
        <v>-1.2853342923335731</v>
      </c>
      <c r="C10" s="2">
        <v>8</v>
      </c>
      <c r="D10" s="2">
        <v>1</v>
      </c>
      <c r="E10" s="4">
        <v>0.6</v>
      </c>
      <c r="F10" s="5">
        <v>0</v>
      </c>
      <c r="G10" s="5"/>
      <c r="H10" s="5"/>
      <c r="I10" s="5"/>
      <c r="J10" s="5"/>
      <c r="K10" s="5"/>
      <c r="L10" s="5"/>
      <c r="M10" s="5"/>
      <c r="N10" s="7"/>
      <c r="O10" s="11">
        <v>-1.3196358850109391</v>
      </c>
      <c r="P10" s="5">
        <v>9.347830788102468E-2</v>
      </c>
      <c r="Q10" s="5">
        <v>0.16701728520350392</v>
      </c>
      <c r="R10" s="5"/>
      <c r="S10" s="5"/>
      <c r="T10" s="5"/>
      <c r="U10" s="5"/>
      <c r="V10" s="5"/>
      <c r="W10" s="5"/>
      <c r="X10" s="5"/>
      <c r="Y10" s="5"/>
      <c r="Z10" s="7"/>
      <c r="AA10" s="11">
        <v>5</v>
      </c>
      <c r="AB10" s="5">
        <v>7.812690734863284E-2</v>
      </c>
      <c r="AC10" s="5">
        <v>5.839920043945316E-2</v>
      </c>
      <c r="AD10" s="5"/>
      <c r="AE10" s="5"/>
      <c r="AF10" s="5"/>
      <c r="AG10" s="5"/>
      <c r="AH10" s="7"/>
      <c r="AI10" s="11">
        <v>5</v>
      </c>
      <c r="AJ10" s="5">
        <v>0.99940581518241833</v>
      </c>
      <c r="AK10" s="5">
        <v>3.06566200976202E-3</v>
      </c>
      <c r="AL10" s="5"/>
      <c r="AM10" s="5"/>
      <c r="AN10" s="5"/>
      <c r="AO10" s="5"/>
      <c r="AP10" s="7"/>
      <c r="BB10" s="11">
        <v>0</v>
      </c>
      <c r="BC10" s="7">
        <v>1</v>
      </c>
    </row>
    <row r="11" spans="1:60" x14ac:dyDescent="0.25">
      <c r="A11" s="2">
        <v>3.7597888119144263</v>
      </c>
      <c r="B11" s="2">
        <v>-1.2206055544083938</v>
      </c>
      <c r="C11" s="2">
        <v>6</v>
      </c>
      <c r="D11" s="2">
        <v>1</v>
      </c>
      <c r="E11" s="6">
        <v>0.7</v>
      </c>
      <c r="F11" s="5">
        <v>0</v>
      </c>
      <c r="G11" s="5"/>
      <c r="H11" s="5"/>
      <c r="I11" s="5"/>
      <c r="J11" s="5"/>
      <c r="K11" s="5"/>
      <c r="L11" s="5"/>
      <c r="M11" s="5"/>
      <c r="N11" s="7"/>
      <c r="O11" s="11">
        <v>-1.3022940947848838</v>
      </c>
      <c r="P11" s="5">
        <v>9.6407934783029059E-2</v>
      </c>
      <c r="Q11" s="5">
        <v>0.17085782725523177</v>
      </c>
      <c r="R11" s="5"/>
      <c r="S11" s="5"/>
      <c r="T11" s="5"/>
      <c r="U11" s="5"/>
      <c r="V11" s="5"/>
      <c r="W11" s="5"/>
      <c r="X11" s="5"/>
      <c r="Y11" s="5"/>
      <c r="Z11" s="7"/>
      <c r="AA11" s="11">
        <v>6</v>
      </c>
      <c r="AB11" s="5">
        <v>0.22412490844726568</v>
      </c>
      <c r="AC11" s="5">
        <v>0.14599800109863281</v>
      </c>
      <c r="AD11" s="5"/>
      <c r="AE11" s="5"/>
      <c r="AF11" s="5"/>
      <c r="AG11" s="5"/>
      <c r="AH11" s="7"/>
      <c r="AI11" s="11">
        <v>6</v>
      </c>
      <c r="AJ11" s="5">
        <v>0.99991675885071196</v>
      </c>
      <c r="AK11" s="5">
        <v>5.1094366829366978E-4</v>
      </c>
      <c r="AL11" s="5"/>
      <c r="AM11" s="5"/>
      <c r="AN11" s="5"/>
      <c r="AO11" s="5"/>
      <c r="AP11" s="7"/>
      <c r="BB11" s="11">
        <v>0</v>
      </c>
      <c r="BC11" s="7">
        <v>1</v>
      </c>
    </row>
    <row r="12" spans="1:60" x14ac:dyDescent="0.25">
      <c r="A12" s="2">
        <v>3.8276619769890439</v>
      </c>
      <c r="B12" s="2">
        <v>-1.2173882169008721</v>
      </c>
      <c r="C12" s="2">
        <v>7</v>
      </c>
      <c r="D12" s="2">
        <v>1</v>
      </c>
      <c r="E12" s="4">
        <v>0.8</v>
      </c>
      <c r="F12" s="5">
        <v>0</v>
      </c>
      <c r="G12" s="5"/>
      <c r="H12" s="5"/>
      <c r="I12" s="5"/>
      <c r="J12" s="5"/>
      <c r="K12" s="5"/>
      <c r="L12" s="5"/>
      <c r="M12" s="5"/>
      <c r="N12" s="7"/>
      <c r="O12" s="11">
        <v>-1.2853342923335731</v>
      </c>
      <c r="P12" s="5">
        <v>9.9337745860993282E-2</v>
      </c>
      <c r="Q12" s="5">
        <v>0.17464836755413163</v>
      </c>
      <c r="R12" s="5"/>
      <c r="S12" s="5"/>
      <c r="T12" s="5"/>
      <c r="U12" s="5"/>
      <c r="V12" s="5"/>
      <c r="W12" s="5"/>
      <c r="X12" s="5"/>
      <c r="Y12" s="5"/>
      <c r="Z12" s="7"/>
      <c r="AA12" s="11">
        <v>7</v>
      </c>
      <c r="AB12" s="5">
        <v>0.47440719604492199</v>
      </c>
      <c r="AC12" s="5">
        <v>0.25028228759765625</v>
      </c>
      <c r="AD12" s="5"/>
      <c r="AE12" s="5"/>
      <c r="AF12" s="5"/>
      <c r="AG12" s="5"/>
      <c r="AH12" s="7"/>
      <c r="AI12" s="11">
        <v>7</v>
      </c>
      <c r="AJ12" s="5">
        <v>0.99998975080332531</v>
      </c>
      <c r="AK12" s="5">
        <v>7.2991952613381521E-5</v>
      </c>
      <c r="AL12" s="5"/>
      <c r="AM12" s="5"/>
      <c r="AN12" s="5"/>
      <c r="AO12" s="5"/>
      <c r="AP12" s="7"/>
      <c r="BB12" s="11">
        <v>0</v>
      </c>
      <c r="BC12" s="7">
        <v>0</v>
      </c>
    </row>
    <row r="13" spans="1:60" x14ac:dyDescent="0.25">
      <c r="A13" s="2">
        <v>3.8303476058229315</v>
      </c>
      <c r="B13" s="2">
        <v>-1.1224619811400771</v>
      </c>
      <c r="C13" s="2">
        <v>8</v>
      </c>
      <c r="D13" s="2">
        <v>2</v>
      </c>
      <c r="E13" s="6">
        <v>0.9</v>
      </c>
      <c r="F13" s="5">
        <v>0</v>
      </c>
      <c r="G13" s="5"/>
      <c r="H13" s="5"/>
      <c r="I13" s="5"/>
      <c r="J13" s="5"/>
      <c r="K13" s="5"/>
      <c r="L13" s="5"/>
      <c r="M13" s="5"/>
      <c r="N13" s="7"/>
      <c r="O13" s="11">
        <v>-1.2206055544083938</v>
      </c>
      <c r="P13" s="5">
        <v>0.1111177011473376</v>
      </c>
      <c r="Q13" s="5">
        <v>0.18940314506977615</v>
      </c>
      <c r="R13" s="5"/>
      <c r="S13" s="5"/>
      <c r="T13" s="5"/>
      <c r="U13" s="5"/>
      <c r="V13" s="5"/>
      <c r="W13" s="5"/>
      <c r="X13" s="5"/>
      <c r="Y13" s="5"/>
      <c r="Z13" s="7"/>
      <c r="AA13" s="11">
        <v>8</v>
      </c>
      <c r="AB13" s="5">
        <v>0.75597476959228516</v>
      </c>
      <c r="AC13" s="5">
        <v>0.28156757354736334</v>
      </c>
      <c r="AD13" s="5"/>
      <c r="AE13" s="5"/>
      <c r="AF13" s="5"/>
      <c r="AG13" s="5"/>
      <c r="AH13" s="7"/>
      <c r="AI13" s="11">
        <v>8</v>
      </c>
      <c r="AJ13" s="5">
        <v>0.99999887479740202</v>
      </c>
      <c r="AK13" s="5">
        <v>9.1239940766726546E-6</v>
      </c>
      <c r="AL13" s="5"/>
      <c r="AM13" s="5"/>
      <c r="AN13" s="5"/>
      <c r="AO13" s="5"/>
      <c r="AP13" s="7"/>
      <c r="BB13" s="11">
        <v>1</v>
      </c>
      <c r="BC13" s="7">
        <v>0</v>
      </c>
    </row>
    <row r="14" spans="1:60" x14ac:dyDescent="0.25">
      <c r="A14" s="2">
        <v>3.8652607806634727</v>
      </c>
      <c r="B14" s="2">
        <v>-1.0766757441160735</v>
      </c>
      <c r="C14" s="2">
        <v>7</v>
      </c>
      <c r="D14" s="2">
        <v>0</v>
      </c>
      <c r="E14" s="4">
        <v>1</v>
      </c>
      <c r="F14" s="5">
        <v>0</v>
      </c>
      <c r="G14" s="5"/>
      <c r="H14" s="5"/>
      <c r="I14" s="5"/>
      <c r="J14" s="5"/>
      <c r="K14" s="5"/>
      <c r="L14" s="5"/>
      <c r="M14" s="5"/>
      <c r="N14" s="7"/>
      <c r="O14" s="11">
        <v>-1.2173882169008721</v>
      </c>
      <c r="P14" s="5">
        <v>0.11172827203947867</v>
      </c>
      <c r="Q14" s="5">
        <v>0.19014742844374474</v>
      </c>
      <c r="R14" s="5"/>
      <c r="S14" s="5"/>
      <c r="T14" s="5"/>
      <c r="U14" s="5"/>
      <c r="V14" s="5"/>
      <c r="W14" s="5"/>
      <c r="X14" s="5"/>
      <c r="Y14" s="5"/>
      <c r="Z14" s="7"/>
      <c r="AA14" s="11">
        <v>9</v>
      </c>
      <c r="AB14" s="5">
        <v>0.94368648529052734</v>
      </c>
      <c r="AC14" s="5">
        <v>0.18771171569824219</v>
      </c>
      <c r="AD14" s="5"/>
      <c r="AE14" s="5"/>
      <c r="AF14" s="5"/>
      <c r="AG14" s="5"/>
      <c r="AH14" s="7"/>
      <c r="AI14" s="11">
        <v>9</v>
      </c>
      <c r="AJ14" s="5">
        <v>0.9999998885745216</v>
      </c>
      <c r="AK14" s="5">
        <v>1.0137771196302961E-6</v>
      </c>
      <c r="AL14" s="5"/>
      <c r="AM14" s="5"/>
      <c r="AN14" s="5"/>
      <c r="AO14" s="5"/>
      <c r="AP14" s="7"/>
      <c r="BB14" s="11">
        <v>1</v>
      </c>
      <c r="BC14" s="7">
        <v>0</v>
      </c>
    </row>
    <row r="15" spans="1:60" x14ac:dyDescent="0.25">
      <c r="A15" s="2">
        <v>3.903347880489517</v>
      </c>
      <c r="B15" s="2">
        <v>-1.0042549547506496</v>
      </c>
      <c r="C15" s="2">
        <v>9</v>
      </c>
      <c r="D15" s="2">
        <v>1</v>
      </c>
      <c r="E15" s="6">
        <v>1.1000000000000001</v>
      </c>
      <c r="F15" s="5">
        <v>0</v>
      </c>
      <c r="G15" s="5"/>
      <c r="H15" s="5"/>
      <c r="I15" s="5"/>
      <c r="J15" s="5"/>
      <c r="K15" s="5"/>
      <c r="L15" s="5"/>
      <c r="M15" s="5"/>
      <c r="N15" s="7"/>
      <c r="O15" s="11">
        <v>-1.1224619811400771</v>
      </c>
      <c r="P15" s="5">
        <v>0.13083303191905568</v>
      </c>
      <c r="Q15" s="5">
        <v>0.21248179120055127</v>
      </c>
      <c r="R15" s="5"/>
      <c r="S15" s="5"/>
      <c r="T15" s="5"/>
      <c r="U15" s="5"/>
      <c r="V15" s="5"/>
      <c r="W15" s="5"/>
      <c r="X15" s="5"/>
      <c r="Y15" s="5"/>
      <c r="Z15" s="7"/>
      <c r="AA15" s="11">
        <v>10</v>
      </c>
      <c r="AB15" s="5">
        <v>1</v>
      </c>
      <c r="AC15" s="5">
        <v>5.6313514709472684E-2</v>
      </c>
      <c r="AD15" s="5"/>
      <c r="AE15" s="5"/>
      <c r="AF15" s="5"/>
      <c r="AG15" s="5"/>
      <c r="AH15" s="7"/>
      <c r="AI15" s="11">
        <v>10</v>
      </c>
      <c r="AJ15" s="5">
        <v>0.9999999899522336</v>
      </c>
      <c r="AK15" s="5">
        <v>1.013777119630295E-7</v>
      </c>
      <c r="AL15" s="5"/>
      <c r="AM15" s="5"/>
      <c r="AN15" s="5"/>
      <c r="AO15" s="5"/>
      <c r="AP15" s="7"/>
      <c r="BB15" s="11">
        <v>0</v>
      </c>
      <c r="BC15" s="7">
        <v>0</v>
      </c>
    </row>
    <row r="16" spans="1:60" x14ac:dyDescent="0.25">
      <c r="A16" s="2">
        <v>3.9643848994415114</v>
      </c>
      <c r="B16" s="2">
        <v>-0.97135853138752282</v>
      </c>
      <c r="C16" s="2">
        <v>8</v>
      </c>
      <c r="D16" s="2">
        <v>1</v>
      </c>
      <c r="E16" s="4">
        <v>1.2</v>
      </c>
      <c r="F16" s="5">
        <v>0</v>
      </c>
      <c r="G16" s="5"/>
      <c r="H16" s="5"/>
      <c r="I16" s="5"/>
      <c r="J16" s="5"/>
      <c r="K16" s="5"/>
      <c r="L16" s="5"/>
      <c r="M16" s="5"/>
      <c r="N16" s="7"/>
      <c r="O16" s="11">
        <v>-1.0766757441160735</v>
      </c>
      <c r="P16" s="5">
        <v>0.14081257617151005</v>
      </c>
      <c r="Q16" s="5">
        <v>0.22345307054006699</v>
      </c>
      <c r="R16" s="5"/>
      <c r="S16" s="5"/>
      <c r="T16" s="5"/>
      <c r="U16" s="5"/>
      <c r="V16" s="5"/>
      <c r="W16" s="5"/>
      <c r="X16" s="5"/>
      <c r="Y16" s="5"/>
      <c r="Z16" s="7"/>
      <c r="AA16" s="11"/>
      <c r="AB16" s="5"/>
      <c r="AC16" s="5"/>
      <c r="AD16" s="5"/>
      <c r="AE16" s="5"/>
      <c r="AF16" s="5"/>
      <c r="AG16" s="5"/>
      <c r="AH16" s="7"/>
      <c r="AI16" s="11"/>
      <c r="AJ16" s="5"/>
      <c r="AK16" s="5"/>
      <c r="AL16" s="5"/>
      <c r="AM16" s="5"/>
      <c r="AN16" s="5"/>
      <c r="AO16" s="5"/>
      <c r="AP16" s="7"/>
      <c r="BB16" s="11">
        <v>0</v>
      </c>
      <c r="BC16" s="7">
        <v>1</v>
      </c>
    </row>
    <row r="17" spans="1:55" x14ac:dyDescent="0.25">
      <c r="A17" s="2">
        <v>4.0173650318918419</v>
      </c>
      <c r="B17" s="2">
        <v>-0.92694790509995073</v>
      </c>
      <c r="C17" s="2">
        <v>8</v>
      </c>
      <c r="D17" s="2">
        <v>0</v>
      </c>
      <c r="E17" s="6">
        <v>1.3</v>
      </c>
      <c r="F17" s="5">
        <v>0</v>
      </c>
      <c r="G17" s="5"/>
      <c r="H17" s="5"/>
      <c r="I17" s="5"/>
      <c r="J17" s="5"/>
      <c r="K17" s="5"/>
      <c r="L17" s="5"/>
      <c r="M17" s="5"/>
      <c r="N17" s="7"/>
      <c r="O17" s="11">
        <v>-1.0042549547506496</v>
      </c>
      <c r="P17" s="5">
        <v>0.15762786983746294</v>
      </c>
      <c r="Q17" s="5">
        <v>0.24094115624206469</v>
      </c>
      <c r="R17" s="5"/>
      <c r="S17" s="5"/>
      <c r="T17" s="5"/>
      <c r="U17" s="5"/>
      <c r="V17" s="5"/>
      <c r="W17" s="5"/>
      <c r="X17" s="5"/>
      <c r="Y17" s="5"/>
      <c r="Z17" s="7"/>
      <c r="AA17" s="11"/>
      <c r="AB17" s="5"/>
      <c r="AC17" s="5"/>
      <c r="AD17" s="5"/>
      <c r="AE17" s="5"/>
      <c r="AF17" s="5"/>
      <c r="AG17" s="5"/>
      <c r="AH17" s="7"/>
      <c r="AI17" s="11"/>
      <c r="AJ17" s="5"/>
      <c r="AK17" s="5"/>
      <c r="AL17" s="5"/>
      <c r="AM17" s="5"/>
      <c r="AN17" s="5"/>
      <c r="AO17" s="5"/>
      <c r="AP17" s="7"/>
      <c r="BB17" s="11">
        <v>0</v>
      </c>
      <c r="BC17" s="7">
        <v>0</v>
      </c>
    </row>
    <row r="18" spans="1:55" x14ac:dyDescent="0.25">
      <c r="A18" s="2">
        <v>4.1455427716910309</v>
      </c>
      <c r="B18" s="2">
        <v>-0.88780552687239833</v>
      </c>
      <c r="C18" s="2">
        <v>8</v>
      </c>
      <c r="D18" s="2">
        <v>1</v>
      </c>
      <c r="E18" s="4">
        <v>1.4</v>
      </c>
      <c r="F18" s="5">
        <v>0</v>
      </c>
      <c r="G18" s="5"/>
      <c r="H18" s="5"/>
      <c r="I18" s="5"/>
      <c r="J18" s="5"/>
      <c r="K18" s="5"/>
      <c r="L18" s="5"/>
      <c r="M18" s="5"/>
      <c r="N18" s="7"/>
      <c r="O18" s="11">
        <v>-0.97135853138752282</v>
      </c>
      <c r="P18" s="5">
        <v>0.16568488556964694</v>
      </c>
      <c r="Q18" s="5">
        <v>0.24889921301783835</v>
      </c>
      <c r="R18" s="5"/>
      <c r="S18" s="5"/>
      <c r="T18" s="5"/>
      <c r="U18" s="5"/>
      <c r="V18" s="5"/>
      <c r="W18" s="5"/>
      <c r="X18" s="5"/>
      <c r="Y18" s="5"/>
      <c r="Z18" s="7"/>
      <c r="AA18" s="11"/>
      <c r="AB18" s="5"/>
      <c r="AC18" s="5"/>
      <c r="AD18" s="5"/>
      <c r="AE18" s="5"/>
      <c r="AF18" s="5"/>
      <c r="AG18" s="5"/>
      <c r="AH18" s="7"/>
      <c r="AI18" s="11"/>
      <c r="AJ18" s="5"/>
      <c r="AK18" s="5"/>
      <c r="AL18" s="5"/>
      <c r="AM18" s="5"/>
      <c r="AN18" s="5"/>
      <c r="AO18" s="5"/>
      <c r="AP18" s="7"/>
      <c r="BB18" s="11">
        <v>1</v>
      </c>
      <c r="BC18" s="7">
        <v>1</v>
      </c>
    </row>
    <row r="19" spans="1:55" x14ac:dyDescent="0.25">
      <c r="A19" s="2">
        <v>4.1994994964445933</v>
      </c>
      <c r="B19" s="2">
        <v>-0.86012278188718483</v>
      </c>
      <c r="C19" s="2">
        <v>7</v>
      </c>
      <c r="D19" s="2">
        <v>0</v>
      </c>
      <c r="E19" s="6">
        <v>1.5</v>
      </c>
      <c r="F19" s="5">
        <v>0</v>
      </c>
      <c r="G19" s="5"/>
      <c r="H19" s="5"/>
      <c r="I19" s="5"/>
      <c r="J19" s="5"/>
      <c r="K19" s="5"/>
      <c r="L19" s="5"/>
      <c r="M19" s="5"/>
      <c r="N19" s="7"/>
      <c r="O19" s="11">
        <v>-0.92694790509995073</v>
      </c>
      <c r="P19" s="5">
        <v>0.17697679144278705</v>
      </c>
      <c r="Q19" s="5">
        <v>0.25961520043073827</v>
      </c>
      <c r="R19" s="5"/>
      <c r="S19" s="5"/>
      <c r="T19" s="5"/>
      <c r="U19" s="5"/>
      <c r="V19" s="5"/>
      <c r="W19" s="5"/>
      <c r="X19" s="5"/>
      <c r="Y19" s="5"/>
      <c r="Z19" s="7"/>
      <c r="AA19" s="11"/>
      <c r="AB19" s="5"/>
      <c r="AC19" s="5"/>
      <c r="AD19" s="5"/>
      <c r="AE19" s="5"/>
      <c r="AF19" s="5"/>
      <c r="AG19" s="5"/>
      <c r="AH19" s="7"/>
      <c r="AI19" s="11"/>
      <c r="AJ19" s="5"/>
      <c r="AK19" s="5"/>
      <c r="AL19" s="5"/>
      <c r="AM19" s="5"/>
      <c r="AN19" s="5"/>
      <c r="AO19" s="5"/>
      <c r="AP19" s="7"/>
      <c r="BB19" s="11">
        <v>1</v>
      </c>
      <c r="BC19" s="7">
        <v>1</v>
      </c>
    </row>
    <row r="20" spans="1:55" x14ac:dyDescent="0.25">
      <c r="A20" s="2">
        <v>4.2522354808191167</v>
      </c>
      <c r="B20" s="2">
        <v>-0.84493876784108579</v>
      </c>
      <c r="C20" s="2">
        <v>6</v>
      </c>
      <c r="D20" s="2">
        <v>1</v>
      </c>
      <c r="E20" s="4">
        <v>1.6</v>
      </c>
      <c r="F20" s="5">
        <v>0</v>
      </c>
      <c r="G20" s="5"/>
      <c r="H20" s="5"/>
      <c r="I20" s="5"/>
      <c r="J20" s="5"/>
      <c r="K20" s="5"/>
      <c r="L20" s="5"/>
      <c r="M20" s="5"/>
      <c r="N20" s="7"/>
      <c r="O20" s="11">
        <v>-0.88780552687239833</v>
      </c>
      <c r="P20" s="5">
        <v>0.18732268472688166</v>
      </c>
      <c r="Q20" s="5">
        <v>0.26900162460432275</v>
      </c>
      <c r="R20" s="5"/>
      <c r="S20" s="5"/>
      <c r="T20" s="5"/>
      <c r="U20" s="5"/>
      <c r="V20" s="5"/>
      <c r="W20" s="5"/>
      <c r="X20" s="5"/>
      <c r="Y20" s="5"/>
      <c r="Z20" s="7"/>
      <c r="AA20" s="11"/>
      <c r="AB20" s="5"/>
      <c r="AC20" s="5"/>
      <c r="AD20" s="5"/>
      <c r="AE20" s="5"/>
      <c r="AF20" s="5"/>
      <c r="AG20" s="5"/>
      <c r="AH20" s="7"/>
      <c r="AI20" s="11"/>
      <c r="AJ20" s="5"/>
      <c r="AK20" s="5"/>
      <c r="AL20" s="5"/>
      <c r="AM20" s="5"/>
      <c r="AN20" s="5"/>
      <c r="AO20" s="5"/>
      <c r="AP20" s="7"/>
      <c r="BB20" s="11">
        <v>1</v>
      </c>
      <c r="BC20" s="7">
        <v>0</v>
      </c>
    </row>
    <row r="21" spans="1:55" x14ac:dyDescent="0.25">
      <c r="A21" s="2">
        <v>4.4839320047608879</v>
      </c>
      <c r="B21" s="2">
        <v>-0.84362909547053277</v>
      </c>
      <c r="C21" s="2">
        <v>8</v>
      </c>
      <c r="D21" s="2">
        <v>0</v>
      </c>
      <c r="E21" s="6">
        <v>1.7</v>
      </c>
      <c r="F21" s="5">
        <v>0</v>
      </c>
      <c r="G21" s="5"/>
      <c r="H21" s="5"/>
      <c r="I21" s="5"/>
      <c r="J21" s="5"/>
      <c r="K21" s="5"/>
      <c r="L21" s="5"/>
      <c r="M21" s="5"/>
      <c r="N21" s="7"/>
      <c r="O21" s="11">
        <v>-0.86012278188718483</v>
      </c>
      <c r="P21" s="5">
        <v>0.1948606821099752</v>
      </c>
      <c r="Q21" s="5">
        <v>0.27558914341409996</v>
      </c>
      <c r="R21" s="5"/>
      <c r="S21" s="5"/>
      <c r="T21" s="5"/>
      <c r="U21" s="5"/>
      <c r="V21" s="5"/>
      <c r="W21" s="5"/>
      <c r="X21" s="5"/>
      <c r="Y21" s="5"/>
      <c r="Z21" s="7"/>
      <c r="AA21" s="11"/>
      <c r="AB21" s="5"/>
      <c r="AC21" s="5"/>
      <c r="AD21" s="5"/>
      <c r="AE21" s="5"/>
      <c r="AF21" s="5"/>
      <c r="AG21" s="5"/>
      <c r="AH21" s="7"/>
      <c r="AI21" s="11"/>
      <c r="AJ21" s="5"/>
      <c r="AK21" s="5"/>
      <c r="AL21" s="5"/>
      <c r="AM21" s="5"/>
      <c r="AN21" s="5"/>
      <c r="AO21" s="5"/>
      <c r="AP21" s="7"/>
      <c r="BB21" s="11">
        <v>1</v>
      </c>
      <c r="BC21" s="7">
        <v>1</v>
      </c>
    </row>
    <row r="22" spans="1:55" x14ac:dyDescent="0.25">
      <c r="A22" s="2">
        <v>4.5027314065981017</v>
      </c>
      <c r="B22" s="2">
        <v>-0.83937720773974434</v>
      </c>
      <c r="C22" s="2">
        <v>6</v>
      </c>
      <c r="D22" s="2">
        <v>0</v>
      </c>
      <c r="E22" s="4">
        <v>1.8</v>
      </c>
      <c r="F22" s="5">
        <v>0</v>
      </c>
      <c r="G22" s="5"/>
      <c r="H22" s="5"/>
      <c r="I22" s="5"/>
      <c r="J22" s="5"/>
      <c r="K22" s="5"/>
      <c r="L22" s="5"/>
      <c r="M22" s="5"/>
      <c r="N22" s="7"/>
      <c r="O22" s="11">
        <v>-0.84493876784108579</v>
      </c>
      <c r="P22" s="5">
        <v>0.19907251386072375</v>
      </c>
      <c r="Q22" s="5">
        <v>0.27917979061296966</v>
      </c>
      <c r="R22" s="5"/>
      <c r="S22" s="5"/>
      <c r="T22" s="5"/>
      <c r="U22" s="5"/>
      <c r="V22" s="5"/>
      <c r="W22" s="5"/>
      <c r="X22" s="5"/>
      <c r="Y22" s="5"/>
      <c r="Z22" s="7"/>
      <c r="AA22" s="11"/>
      <c r="AB22" s="5"/>
      <c r="AC22" s="5"/>
      <c r="AD22" s="5"/>
      <c r="AE22" s="5"/>
      <c r="AF22" s="5"/>
      <c r="AG22" s="5"/>
      <c r="AH22" s="7"/>
      <c r="AI22" s="11"/>
      <c r="AJ22" s="5"/>
      <c r="AK22" s="5"/>
      <c r="AL22" s="5"/>
      <c r="AM22" s="5"/>
      <c r="AN22" s="5"/>
      <c r="AO22" s="5"/>
      <c r="AP22" s="7"/>
      <c r="BB22" s="11">
        <v>1</v>
      </c>
      <c r="BC22" s="7">
        <v>0</v>
      </c>
    </row>
    <row r="23" spans="1:55" x14ac:dyDescent="0.25">
      <c r="A23" s="2">
        <v>4.7075716422009952</v>
      </c>
      <c r="B23" s="2">
        <v>-0.79924802776076831</v>
      </c>
      <c r="C23" s="2">
        <v>10</v>
      </c>
      <c r="D23" s="2">
        <v>2</v>
      </c>
      <c r="E23" s="6">
        <v>1.9</v>
      </c>
      <c r="F23" s="5">
        <v>0</v>
      </c>
      <c r="G23" s="5"/>
      <c r="H23" s="5"/>
      <c r="I23" s="5"/>
      <c r="J23" s="5"/>
      <c r="K23" s="5"/>
      <c r="L23" s="5"/>
      <c r="M23" s="5"/>
      <c r="N23" s="7"/>
      <c r="O23" s="11">
        <v>-0.84362909547053277</v>
      </c>
      <c r="P23" s="5">
        <v>0.19943835019297504</v>
      </c>
      <c r="Q23" s="5">
        <v>0.27948866030575642</v>
      </c>
      <c r="R23" s="5"/>
      <c r="S23" s="5"/>
      <c r="T23" s="5"/>
      <c r="U23" s="5"/>
      <c r="V23" s="5"/>
      <c r="W23" s="5"/>
      <c r="X23" s="5"/>
      <c r="Y23" s="5"/>
      <c r="Z23" s="7"/>
      <c r="AA23" s="11"/>
      <c r="AB23" s="5"/>
      <c r="AC23" s="5"/>
      <c r="AD23" s="5"/>
      <c r="AE23" s="5"/>
      <c r="AF23" s="5"/>
      <c r="AG23" s="5"/>
      <c r="AH23" s="7"/>
      <c r="AI23" s="11"/>
      <c r="AJ23" s="5"/>
      <c r="AK23" s="5"/>
      <c r="AL23" s="5"/>
      <c r="AM23" s="5"/>
      <c r="AN23" s="5"/>
      <c r="AO23" s="5"/>
      <c r="AP23" s="7"/>
      <c r="BB23" s="11">
        <v>0</v>
      </c>
      <c r="BC23" s="7">
        <v>1</v>
      </c>
    </row>
    <row r="24" spans="1:55" x14ac:dyDescent="0.25">
      <c r="A24" s="2">
        <v>4.7129428998687706</v>
      </c>
      <c r="B24" s="2">
        <v>-0.76794776759925298</v>
      </c>
      <c r="C24" s="2">
        <v>7</v>
      </c>
      <c r="D24" s="2">
        <v>0</v>
      </c>
      <c r="E24" s="4">
        <v>2</v>
      </c>
      <c r="F24" s="5">
        <v>0</v>
      </c>
      <c r="G24" s="5"/>
      <c r="H24" s="5"/>
      <c r="I24" s="5"/>
      <c r="J24" s="5"/>
      <c r="K24" s="5"/>
      <c r="L24" s="5"/>
      <c r="M24" s="5"/>
      <c r="N24" s="7"/>
      <c r="O24" s="11">
        <v>-0.83937720773974434</v>
      </c>
      <c r="P24" s="5">
        <v>0.20062883488226907</v>
      </c>
      <c r="Q24" s="5">
        <v>0.28049045541448381</v>
      </c>
      <c r="R24" s="5"/>
      <c r="S24" s="5"/>
      <c r="T24" s="5"/>
      <c r="U24" s="5"/>
      <c r="V24" s="5"/>
      <c r="W24" s="5"/>
      <c r="X24" s="5"/>
      <c r="Y24" s="5"/>
      <c r="Z24" s="7"/>
      <c r="AA24" s="11"/>
      <c r="AB24" s="5"/>
      <c r="AC24" s="5"/>
      <c r="AD24" s="5"/>
      <c r="AE24" s="5"/>
      <c r="AF24" s="5"/>
      <c r="AG24" s="5"/>
      <c r="AH24" s="7"/>
      <c r="AI24" s="11"/>
      <c r="AJ24" s="5"/>
      <c r="AK24" s="5"/>
      <c r="AL24" s="5"/>
      <c r="AM24" s="5"/>
      <c r="AN24" s="5"/>
      <c r="AO24" s="5"/>
      <c r="AP24" s="7"/>
      <c r="BB24" s="11">
        <v>0</v>
      </c>
      <c r="BC24" s="7">
        <v>1</v>
      </c>
    </row>
    <row r="25" spans="1:55" x14ac:dyDescent="0.25">
      <c r="A25" s="2">
        <v>4.7578661458174381</v>
      </c>
      <c r="B25" s="2">
        <v>-0.74351873990963213</v>
      </c>
      <c r="C25" s="2">
        <v>7</v>
      </c>
      <c r="D25" s="2">
        <v>1</v>
      </c>
      <c r="E25" s="6">
        <v>2.1</v>
      </c>
      <c r="F25" s="5">
        <v>0</v>
      </c>
      <c r="G25" s="5"/>
      <c r="H25" s="5"/>
      <c r="I25" s="5"/>
      <c r="J25" s="5"/>
      <c r="K25" s="5"/>
      <c r="L25" s="5"/>
      <c r="M25" s="5"/>
      <c r="N25" s="7"/>
      <c r="O25" s="11">
        <v>-0.79924802776076831</v>
      </c>
      <c r="P25" s="5">
        <v>0.21207330410546987</v>
      </c>
      <c r="Q25" s="5">
        <v>0.28986579524147899</v>
      </c>
      <c r="R25" s="5"/>
      <c r="S25" s="5"/>
      <c r="T25" s="5"/>
      <c r="U25" s="5"/>
      <c r="V25" s="5"/>
      <c r="W25" s="5"/>
      <c r="X25" s="5"/>
      <c r="Y25" s="5"/>
      <c r="Z25" s="7"/>
      <c r="AA25" s="11"/>
      <c r="AB25" s="5"/>
      <c r="AC25" s="5"/>
      <c r="AD25" s="5"/>
      <c r="AE25" s="5"/>
      <c r="AF25" s="5"/>
      <c r="AG25" s="5"/>
      <c r="AH25" s="7"/>
      <c r="AI25" s="11"/>
      <c r="AJ25" s="5"/>
      <c r="AK25" s="5"/>
      <c r="AL25" s="5"/>
      <c r="AM25" s="5"/>
      <c r="AN25" s="5"/>
      <c r="AO25" s="5"/>
      <c r="AP25" s="7"/>
      <c r="BB25" s="11">
        <v>0</v>
      </c>
      <c r="BC25" s="7">
        <v>0</v>
      </c>
    </row>
    <row r="26" spans="1:55" x14ac:dyDescent="0.25">
      <c r="A26" s="2">
        <v>4.919003875850704</v>
      </c>
      <c r="B26" s="2">
        <v>-0.69886937126284465</v>
      </c>
      <c r="C26" s="2">
        <v>7</v>
      </c>
      <c r="D26" s="2">
        <v>2</v>
      </c>
      <c r="E26" s="4">
        <v>2.2000000000000002</v>
      </c>
      <c r="F26" s="5">
        <v>0</v>
      </c>
      <c r="G26" s="5"/>
      <c r="H26" s="5"/>
      <c r="I26" s="5"/>
      <c r="J26" s="5"/>
      <c r="K26" s="5"/>
      <c r="L26" s="5"/>
      <c r="M26" s="5"/>
      <c r="N26" s="7"/>
      <c r="O26" s="11">
        <v>-0.76794776759925298</v>
      </c>
      <c r="P26" s="5">
        <v>0.22125910845930996</v>
      </c>
      <c r="Q26" s="5">
        <v>0.2970631845881222</v>
      </c>
      <c r="R26" s="5"/>
      <c r="S26" s="5"/>
      <c r="T26" s="5"/>
      <c r="U26" s="5"/>
      <c r="V26" s="5"/>
      <c r="W26" s="5"/>
      <c r="X26" s="5"/>
      <c r="Y26" s="5"/>
      <c r="Z26" s="7"/>
      <c r="AA26" s="11"/>
      <c r="AB26" s="5"/>
      <c r="AC26" s="5"/>
      <c r="AD26" s="5"/>
      <c r="AE26" s="5"/>
      <c r="AF26" s="5"/>
      <c r="AG26" s="5"/>
      <c r="AH26" s="7"/>
      <c r="AI26" s="11"/>
      <c r="AJ26" s="5"/>
      <c r="AK26" s="5"/>
      <c r="AL26" s="5"/>
      <c r="AM26" s="5"/>
      <c r="AN26" s="5"/>
      <c r="AO26" s="5"/>
      <c r="AP26" s="7"/>
      <c r="BB26" s="11">
        <v>0</v>
      </c>
      <c r="BC26" s="7">
        <v>0</v>
      </c>
    </row>
    <row r="27" spans="1:55" x14ac:dyDescent="0.25">
      <c r="A27" s="2">
        <v>4.976378673665578</v>
      </c>
      <c r="B27" s="2">
        <v>-0.69525981416518334</v>
      </c>
      <c r="C27" s="2">
        <v>6</v>
      </c>
      <c r="D27" s="2">
        <v>1</v>
      </c>
      <c r="E27" s="6">
        <v>2.2999999999999998</v>
      </c>
      <c r="F27" s="5">
        <v>0</v>
      </c>
      <c r="G27" s="5"/>
      <c r="H27" s="5"/>
      <c r="I27" s="5"/>
      <c r="J27" s="5"/>
      <c r="K27" s="5"/>
      <c r="L27" s="5"/>
      <c r="M27" s="5"/>
      <c r="N27" s="7"/>
      <c r="O27" s="11">
        <v>-0.74351873990963213</v>
      </c>
      <c r="P27" s="5">
        <v>0.2285838400537574</v>
      </c>
      <c r="Q27" s="5">
        <v>0.3025984525453228</v>
      </c>
      <c r="R27" s="5"/>
      <c r="S27" s="5"/>
      <c r="T27" s="5"/>
      <c r="U27" s="5"/>
      <c r="V27" s="5"/>
      <c r="W27" s="5"/>
      <c r="X27" s="5"/>
      <c r="Y27" s="5"/>
      <c r="Z27" s="7"/>
      <c r="AA27" s="11"/>
      <c r="AB27" s="5"/>
      <c r="AC27" s="5"/>
      <c r="AD27" s="5"/>
      <c r="AE27" s="5"/>
      <c r="AF27" s="5"/>
      <c r="AG27" s="5"/>
      <c r="AH27" s="7"/>
      <c r="AI27" s="11"/>
      <c r="AJ27" s="5"/>
      <c r="AK27" s="5"/>
      <c r="AL27" s="5"/>
      <c r="AM27" s="5"/>
      <c r="AN27" s="5"/>
      <c r="AO27" s="5"/>
      <c r="AP27" s="7"/>
      <c r="BB27" s="11">
        <v>1</v>
      </c>
      <c r="BC27" s="7">
        <v>1</v>
      </c>
    </row>
    <row r="28" spans="1:55" x14ac:dyDescent="0.25">
      <c r="A28" s="2">
        <v>4.9807733390301223</v>
      </c>
      <c r="B28" s="2">
        <v>-0.68120243668090552</v>
      </c>
      <c r="C28" s="2">
        <v>6</v>
      </c>
      <c r="D28" s="2">
        <v>0</v>
      </c>
      <c r="E28" s="4">
        <v>2.4</v>
      </c>
      <c r="F28" s="5">
        <v>0</v>
      </c>
      <c r="G28" s="5"/>
      <c r="H28" s="5"/>
      <c r="I28" s="5"/>
      <c r="J28" s="5"/>
      <c r="K28" s="5"/>
      <c r="L28" s="5"/>
      <c r="M28" s="5"/>
      <c r="N28" s="7"/>
      <c r="O28" s="11">
        <v>-0.69886937126284465</v>
      </c>
      <c r="P28" s="5">
        <v>0.24231683516133257</v>
      </c>
      <c r="Q28" s="5">
        <v>0.31250096173783815</v>
      </c>
      <c r="R28" s="5"/>
      <c r="S28" s="5"/>
      <c r="T28" s="5"/>
      <c r="U28" s="5"/>
      <c r="V28" s="5"/>
      <c r="W28" s="5"/>
      <c r="X28" s="5"/>
      <c r="Y28" s="5"/>
      <c r="Z28" s="7"/>
      <c r="AA28" s="11"/>
      <c r="AB28" s="5"/>
      <c r="AC28" s="5"/>
      <c r="AD28" s="5"/>
      <c r="AE28" s="5"/>
      <c r="AF28" s="5"/>
      <c r="AG28" s="5"/>
      <c r="AH28" s="7"/>
      <c r="AI28" s="11"/>
      <c r="AJ28" s="5"/>
      <c r="AK28" s="5"/>
      <c r="AL28" s="5"/>
      <c r="AM28" s="5"/>
      <c r="AN28" s="5"/>
      <c r="AO28" s="5"/>
      <c r="AP28" s="7"/>
      <c r="BB28" s="11">
        <v>1</v>
      </c>
      <c r="BC28" s="7">
        <v>1</v>
      </c>
    </row>
    <row r="29" spans="1:55" x14ac:dyDescent="0.25">
      <c r="A29" s="2">
        <v>4.9922482985930969</v>
      </c>
      <c r="B29" s="2">
        <v>-0.64347887018811889</v>
      </c>
      <c r="C29" s="2">
        <v>8</v>
      </c>
      <c r="D29" s="2">
        <v>1</v>
      </c>
      <c r="E29" s="6">
        <v>2.5</v>
      </c>
      <c r="F29" s="5">
        <v>0</v>
      </c>
      <c r="G29" s="5"/>
      <c r="H29" s="5"/>
      <c r="I29" s="5"/>
      <c r="J29" s="5"/>
      <c r="K29" s="5"/>
      <c r="L29" s="5"/>
      <c r="M29" s="5"/>
      <c r="N29" s="7"/>
      <c r="O29" s="11">
        <v>-0.69525981416518334</v>
      </c>
      <c r="P29" s="5">
        <v>0.24344624670773352</v>
      </c>
      <c r="Q29" s="5">
        <v>0.31328823368266201</v>
      </c>
      <c r="R29" s="5"/>
      <c r="S29" s="5"/>
      <c r="T29" s="5"/>
      <c r="U29" s="5"/>
      <c r="V29" s="5"/>
      <c r="W29" s="5"/>
      <c r="X29" s="5"/>
      <c r="Y29" s="5"/>
      <c r="Z29" s="7"/>
      <c r="AA29" s="11"/>
      <c r="AB29" s="5"/>
      <c r="AC29" s="5"/>
      <c r="AD29" s="5"/>
      <c r="AE29" s="5"/>
      <c r="AF29" s="5"/>
      <c r="AG29" s="5"/>
      <c r="AH29" s="7"/>
      <c r="AI29" s="11"/>
      <c r="AJ29" s="5"/>
      <c r="AK29" s="5"/>
      <c r="AL29" s="5"/>
      <c r="AM29" s="5"/>
      <c r="AN29" s="5"/>
      <c r="AO29" s="5"/>
      <c r="AP29" s="7"/>
      <c r="BB29" s="11">
        <v>0</v>
      </c>
      <c r="BC29" s="7">
        <v>1</v>
      </c>
    </row>
    <row r="30" spans="1:55" x14ac:dyDescent="0.25">
      <c r="A30" s="2">
        <v>5.0122684408093505</v>
      </c>
      <c r="B30" s="2">
        <v>-0.63381776271853596</v>
      </c>
      <c r="C30" s="2">
        <v>7</v>
      </c>
      <c r="D30" s="2">
        <v>1</v>
      </c>
      <c r="E30" s="4">
        <v>2.6</v>
      </c>
      <c r="F30" s="5">
        <v>0</v>
      </c>
      <c r="G30" s="5"/>
      <c r="H30" s="5"/>
      <c r="I30" s="5"/>
      <c r="J30" s="5"/>
      <c r="K30" s="5"/>
      <c r="L30" s="5"/>
      <c r="M30" s="5"/>
      <c r="N30" s="7"/>
      <c r="O30" s="11">
        <v>-0.68120243668090552</v>
      </c>
      <c r="P30" s="5">
        <v>0.24787170321171215</v>
      </c>
      <c r="Q30" s="5">
        <v>0.31633392043767711</v>
      </c>
      <c r="R30" s="5"/>
      <c r="S30" s="5"/>
      <c r="T30" s="5"/>
      <c r="U30" s="5"/>
      <c r="V30" s="5"/>
      <c r="W30" s="5"/>
      <c r="X30" s="5"/>
      <c r="Y30" s="5"/>
      <c r="Z30" s="7"/>
      <c r="AA30" s="11"/>
      <c r="AB30" s="5"/>
      <c r="AC30" s="5"/>
      <c r="AD30" s="5"/>
      <c r="AE30" s="5"/>
      <c r="AF30" s="5"/>
      <c r="AG30" s="5"/>
      <c r="AH30" s="7"/>
      <c r="AI30" s="11"/>
      <c r="AJ30" s="5"/>
      <c r="AK30" s="5"/>
      <c r="AL30" s="5"/>
      <c r="AM30" s="5"/>
      <c r="AN30" s="5"/>
      <c r="AO30" s="5"/>
      <c r="AP30" s="7"/>
      <c r="BB30" s="11">
        <v>1</v>
      </c>
      <c r="BC30" s="7">
        <v>1</v>
      </c>
    </row>
    <row r="31" spans="1:55" x14ac:dyDescent="0.25">
      <c r="A31" s="2">
        <v>5.0383922849208043</v>
      </c>
      <c r="B31" s="2">
        <v>-0.61771970649715513</v>
      </c>
      <c r="C31" s="2">
        <v>6</v>
      </c>
      <c r="D31" s="2">
        <v>2</v>
      </c>
      <c r="E31" s="6">
        <v>2.7</v>
      </c>
      <c r="F31" s="5">
        <v>0</v>
      </c>
      <c r="G31" s="5"/>
      <c r="H31" s="5"/>
      <c r="I31" s="5"/>
      <c r="J31" s="5"/>
      <c r="K31" s="5"/>
      <c r="L31" s="5"/>
      <c r="M31" s="5"/>
      <c r="N31" s="7"/>
      <c r="O31" s="11">
        <v>-0.64347887018811889</v>
      </c>
      <c r="P31" s="5">
        <v>0.25995671052155089</v>
      </c>
      <c r="Q31" s="5">
        <v>0.32433736289849258</v>
      </c>
      <c r="R31" s="5"/>
      <c r="S31" s="5"/>
      <c r="T31" s="5"/>
      <c r="U31" s="5"/>
      <c r="V31" s="5"/>
      <c r="W31" s="5"/>
      <c r="X31" s="5"/>
      <c r="Y31" s="5"/>
      <c r="Z31" s="7"/>
      <c r="AA31" s="11"/>
      <c r="AB31" s="5"/>
      <c r="AC31" s="5"/>
      <c r="AD31" s="5"/>
      <c r="AE31" s="5"/>
      <c r="AF31" s="5"/>
      <c r="AG31" s="5"/>
      <c r="AH31" s="7"/>
      <c r="AI31" s="11"/>
      <c r="AJ31" s="5"/>
      <c r="AK31" s="5"/>
      <c r="AL31" s="5"/>
      <c r="AM31" s="5"/>
      <c r="AN31" s="5"/>
      <c r="AO31" s="5"/>
      <c r="AP31" s="7"/>
      <c r="BB31" s="11">
        <v>0</v>
      </c>
      <c r="BC31" s="7">
        <v>1</v>
      </c>
    </row>
    <row r="32" spans="1:55" x14ac:dyDescent="0.25">
      <c r="A32" s="2">
        <v>5.1568041016876736</v>
      </c>
      <c r="B32" s="2">
        <v>-0.56909357226686552</v>
      </c>
      <c r="C32" s="2">
        <v>6</v>
      </c>
      <c r="D32" s="2">
        <v>0</v>
      </c>
      <c r="E32" s="4">
        <v>2.8</v>
      </c>
      <c r="F32" s="5">
        <v>0</v>
      </c>
      <c r="G32" s="5"/>
      <c r="H32" s="5"/>
      <c r="I32" s="5"/>
      <c r="J32" s="5"/>
      <c r="K32" s="5"/>
      <c r="L32" s="5"/>
      <c r="M32" s="5"/>
      <c r="N32" s="7"/>
      <c r="O32" s="11">
        <v>-0.63381776271853596</v>
      </c>
      <c r="P32" s="5">
        <v>0.26309987979756655</v>
      </c>
      <c r="Q32" s="5">
        <v>0.32634472705143963</v>
      </c>
      <c r="R32" s="5"/>
      <c r="S32" s="5"/>
      <c r="T32" s="5"/>
      <c r="U32" s="5"/>
      <c r="V32" s="5"/>
      <c r="W32" s="5"/>
      <c r="X32" s="5"/>
      <c r="Y32" s="5"/>
      <c r="Z32" s="7"/>
      <c r="AA32" s="11"/>
      <c r="AB32" s="5"/>
      <c r="AC32" s="5"/>
      <c r="AD32" s="5"/>
      <c r="AE32" s="5"/>
      <c r="AF32" s="5"/>
      <c r="AG32" s="5"/>
      <c r="AH32" s="7"/>
      <c r="AI32" s="11"/>
      <c r="AJ32" s="5"/>
      <c r="AK32" s="5"/>
      <c r="AL32" s="5"/>
      <c r="AM32" s="5"/>
      <c r="AN32" s="5"/>
      <c r="AO32" s="5"/>
      <c r="AP32" s="7"/>
      <c r="BB32" s="11">
        <v>1</v>
      </c>
      <c r="BC32" s="7">
        <v>1</v>
      </c>
    </row>
    <row r="33" spans="1:55" x14ac:dyDescent="0.25">
      <c r="A33" s="2">
        <v>5.1746269112216563</v>
      </c>
      <c r="B33" s="2">
        <v>-0.55940631682460662</v>
      </c>
      <c r="C33" s="2">
        <v>7</v>
      </c>
      <c r="D33" s="2">
        <v>1</v>
      </c>
      <c r="E33" s="6">
        <v>2.9</v>
      </c>
      <c r="F33" s="5">
        <v>0</v>
      </c>
      <c r="G33" s="5"/>
      <c r="H33" s="5"/>
      <c r="I33" s="5"/>
      <c r="J33" s="5"/>
      <c r="K33" s="5"/>
      <c r="L33" s="5"/>
      <c r="M33" s="5"/>
      <c r="N33" s="7"/>
      <c r="O33" s="11">
        <v>-0.61771970649715513</v>
      </c>
      <c r="P33" s="5">
        <v>0.26838005973276413</v>
      </c>
      <c r="Q33" s="5">
        <v>0.32964882721310163</v>
      </c>
      <c r="R33" s="5"/>
      <c r="S33" s="5"/>
      <c r="T33" s="5"/>
      <c r="U33" s="5"/>
      <c r="V33" s="5"/>
      <c r="W33" s="5"/>
      <c r="X33" s="5"/>
      <c r="Y33" s="5"/>
      <c r="Z33" s="7"/>
      <c r="AA33" s="11"/>
      <c r="AB33" s="5"/>
      <c r="AC33" s="5"/>
      <c r="AD33" s="5"/>
      <c r="AE33" s="5"/>
      <c r="AF33" s="5"/>
      <c r="AG33" s="5"/>
      <c r="AH33" s="7"/>
      <c r="AI33" s="11"/>
      <c r="AJ33" s="5"/>
      <c r="AK33" s="5"/>
      <c r="AL33" s="5"/>
      <c r="AM33" s="5"/>
      <c r="AN33" s="5"/>
      <c r="AO33" s="5"/>
      <c r="AP33" s="7"/>
      <c r="BB33" s="11">
        <v>1</v>
      </c>
      <c r="BC33" s="7">
        <v>1</v>
      </c>
    </row>
    <row r="34" spans="1:55" x14ac:dyDescent="0.25">
      <c r="A34" s="2">
        <v>5.2490920743430891</v>
      </c>
      <c r="B34" s="2">
        <v>-0.54692691264790483</v>
      </c>
      <c r="C34" s="2">
        <v>9</v>
      </c>
      <c r="D34" s="2">
        <v>1</v>
      </c>
      <c r="E34" s="4">
        <v>3</v>
      </c>
      <c r="F34" s="5">
        <v>0</v>
      </c>
      <c r="G34" s="5"/>
      <c r="H34" s="5"/>
      <c r="I34" s="5"/>
      <c r="J34" s="5"/>
      <c r="K34" s="5"/>
      <c r="L34" s="5"/>
      <c r="M34" s="5"/>
      <c r="N34" s="7"/>
      <c r="O34" s="11">
        <v>-0.56909357226686552</v>
      </c>
      <c r="P34" s="5">
        <v>0.2846463201094398</v>
      </c>
      <c r="Q34" s="5">
        <v>0.33929943234802873</v>
      </c>
      <c r="R34" s="5"/>
      <c r="S34" s="5"/>
      <c r="T34" s="5"/>
      <c r="U34" s="5"/>
      <c r="V34" s="5"/>
      <c r="W34" s="5"/>
      <c r="X34" s="5"/>
      <c r="Y34" s="5"/>
      <c r="Z34" s="7"/>
      <c r="AA34" s="11"/>
      <c r="AB34" s="5"/>
      <c r="AC34" s="5"/>
      <c r="AD34" s="5"/>
      <c r="AE34" s="5"/>
      <c r="AF34" s="5"/>
      <c r="AG34" s="5"/>
      <c r="AH34" s="7"/>
      <c r="AI34" s="11"/>
      <c r="AJ34" s="5"/>
      <c r="AK34" s="5"/>
      <c r="AL34" s="5"/>
      <c r="AM34" s="5"/>
      <c r="AN34" s="5"/>
      <c r="AO34" s="5"/>
      <c r="AP34" s="7"/>
      <c r="BB34" s="11">
        <v>1</v>
      </c>
      <c r="BC34" s="7">
        <v>1</v>
      </c>
    </row>
    <row r="35" spans="1:55" x14ac:dyDescent="0.25">
      <c r="A35" s="2">
        <v>5.2918179876094857</v>
      </c>
      <c r="B35" s="2">
        <v>-0.49730147111404222</v>
      </c>
      <c r="C35" s="2">
        <v>8</v>
      </c>
      <c r="D35" s="2">
        <v>0</v>
      </c>
      <c r="E35" s="6">
        <v>3.1</v>
      </c>
      <c r="F35" s="5">
        <v>1.2500000000000011E-2</v>
      </c>
      <c r="G35" s="5"/>
      <c r="H35" s="5"/>
      <c r="I35" s="5"/>
      <c r="J35" s="5"/>
      <c r="K35" s="5"/>
      <c r="L35" s="5"/>
      <c r="M35" s="5"/>
      <c r="N35" s="7"/>
      <c r="O35" s="11">
        <v>-0.55940631682460662</v>
      </c>
      <c r="P35" s="5">
        <v>0.28794222564498118</v>
      </c>
      <c r="Q35" s="5">
        <v>0.34115913232031897</v>
      </c>
      <c r="R35" s="5"/>
      <c r="S35" s="5"/>
      <c r="T35" s="5"/>
      <c r="U35" s="5"/>
      <c r="V35" s="5"/>
      <c r="W35" s="5"/>
      <c r="X35" s="5"/>
      <c r="Y35" s="5"/>
      <c r="Z35" s="7"/>
      <c r="AA35" s="11"/>
      <c r="AB35" s="5"/>
      <c r="AC35" s="5"/>
      <c r="AD35" s="5"/>
      <c r="AE35" s="5"/>
      <c r="AF35" s="5"/>
      <c r="AG35" s="5"/>
      <c r="AH35" s="7"/>
      <c r="AI35" s="11"/>
      <c r="AJ35" s="5"/>
      <c r="AK35" s="5"/>
      <c r="AL35" s="5"/>
      <c r="AM35" s="5"/>
      <c r="AN35" s="5"/>
      <c r="AO35" s="5"/>
      <c r="AP35" s="7"/>
      <c r="BB35" s="11">
        <v>0</v>
      </c>
      <c r="BC35" s="7">
        <v>1</v>
      </c>
    </row>
    <row r="36" spans="1:55" x14ac:dyDescent="0.25">
      <c r="A36" s="2">
        <v>5.4011963255714592</v>
      </c>
      <c r="B36" s="2">
        <v>-0.42899273466900922</v>
      </c>
      <c r="C36" s="2">
        <v>5</v>
      </c>
      <c r="D36" s="2">
        <v>0</v>
      </c>
      <c r="E36" s="4">
        <v>3.2</v>
      </c>
      <c r="F36" s="5">
        <v>2.5000000000000022E-2</v>
      </c>
      <c r="G36" s="5"/>
      <c r="H36" s="5"/>
      <c r="I36" s="5"/>
      <c r="J36" s="5"/>
      <c r="K36" s="5"/>
      <c r="L36" s="5"/>
      <c r="M36" s="5"/>
      <c r="N36" s="7"/>
      <c r="O36" s="11">
        <v>-0.54692691264790483</v>
      </c>
      <c r="P36" s="5">
        <v>0.29221447269961232</v>
      </c>
      <c r="Q36" s="5">
        <v>0.34352236609067671</v>
      </c>
      <c r="R36" s="5"/>
      <c r="S36" s="5"/>
      <c r="T36" s="5"/>
      <c r="U36" s="5"/>
      <c r="V36" s="5"/>
      <c r="W36" s="5"/>
      <c r="X36" s="5"/>
      <c r="Y36" s="5"/>
      <c r="Z36" s="7"/>
      <c r="AA36" s="11"/>
      <c r="AB36" s="5"/>
      <c r="AC36" s="5"/>
      <c r="AD36" s="5"/>
      <c r="AE36" s="5"/>
      <c r="AF36" s="5"/>
      <c r="AG36" s="5"/>
      <c r="AH36" s="7"/>
      <c r="AI36" s="11"/>
      <c r="AJ36" s="5"/>
      <c r="AK36" s="5"/>
      <c r="AL36" s="5"/>
      <c r="AM36" s="5"/>
      <c r="AN36" s="5"/>
      <c r="AO36" s="5"/>
      <c r="AP36" s="7"/>
      <c r="BB36" s="11">
        <v>1</v>
      </c>
      <c r="BC36" s="7">
        <v>1</v>
      </c>
    </row>
    <row r="37" spans="1:55" x14ac:dyDescent="0.25">
      <c r="A37" s="2">
        <v>5.4041261024811549</v>
      </c>
      <c r="B37" s="2">
        <v>-0.32054117582447361</v>
      </c>
      <c r="C37" s="2">
        <v>7</v>
      </c>
      <c r="D37" s="2">
        <v>4</v>
      </c>
      <c r="E37" s="6">
        <v>3.3</v>
      </c>
      <c r="F37" s="5">
        <v>3.7499999999999978E-2</v>
      </c>
      <c r="G37" s="5"/>
      <c r="H37" s="5"/>
      <c r="I37" s="5"/>
      <c r="J37" s="5"/>
      <c r="K37" s="5"/>
      <c r="L37" s="5"/>
      <c r="M37" s="5"/>
      <c r="N37" s="7"/>
      <c r="O37" s="11">
        <v>-0.49730147111404222</v>
      </c>
      <c r="P37" s="5">
        <v>0.30948823725418334</v>
      </c>
      <c r="Q37" s="5">
        <v>0.35253939299699605</v>
      </c>
      <c r="R37" s="5"/>
      <c r="S37" s="5"/>
      <c r="T37" s="5"/>
      <c r="U37" s="5"/>
      <c r="V37" s="5"/>
      <c r="W37" s="5"/>
      <c r="X37" s="5"/>
      <c r="Y37" s="5"/>
      <c r="Z37" s="7"/>
      <c r="AA37" s="11"/>
      <c r="AB37" s="5"/>
      <c r="AC37" s="5"/>
      <c r="AD37" s="5"/>
      <c r="AE37" s="5"/>
      <c r="AF37" s="5"/>
      <c r="AG37" s="5"/>
      <c r="AH37" s="7"/>
      <c r="AI37" s="11"/>
      <c r="AJ37" s="5"/>
      <c r="AK37" s="5"/>
      <c r="AL37" s="5"/>
      <c r="AM37" s="5"/>
      <c r="AN37" s="5"/>
      <c r="AO37" s="5"/>
      <c r="AP37" s="7"/>
      <c r="BB37" s="11">
        <v>0</v>
      </c>
      <c r="BC37" s="7">
        <v>1</v>
      </c>
    </row>
    <row r="38" spans="1:55" x14ac:dyDescent="0.25">
      <c r="A38" s="2">
        <v>5.5933408612323374</v>
      </c>
      <c r="B38" s="2">
        <v>-0.30023215913388412</v>
      </c>
      <c r="C38" s="2">
        <v>6</v>
      </c>
      <c r="D38" s="2">
        <v>1</v>
      </c>
      <c r="E38" s="4">
        <v>3.4</v>
      </c>
      <c r="F38" s="5">
        <v>4.9999999999999989E-2</v>
      </c>
      <c r="G38" s="5"/>
      <c r="H38" s="5"/>
      <c r="I38" s="5"/>
      <c r="J38" s="5"/>
      <c r="K38" s="5"/>
      <c r="L38" s="5"/>
      <c r="M38" s="5"/>
      <c r="N38" s="7"/>
      <c r="O38" s="11">
        <v>-0.42899273466900922</v>
      </c>
      <c r="P38" s="5">
        <v>0.33396425598383639</v>
      </c>
      <c r="Q38" s="5">
        <v>0.3638709830285784</v>
      </c>
      <c r="R38" s="5"/>
      <c r="S38" s="5"/>
      <c r="T38" s="5"/>
      <c r="U38" s="5"/>
      <c r="V38" s="5"/>
      <c r="W38" s="5"/>
      <c r="X38" s="5"/>
      <c r="Y38" s="5"/>
      <c r="Z38" s="7"/>
      <c r="AA38" s="11"/>
      <c r="AB38" s="5"/>
      <c r="AC38" s="5"/>
      <c r="AD38" s="5"/>
      <c r="AE38" s="5"/>
      <c r="AF38" s="5"/>
      <c r="AG38" s="5"/>
      <c r="AH38" s="7"/>
      <c r="AI38" s="11"/>
      <c r="AJ38" s="5"/>
      <c r="AK38" s="5"/>
      <c r="AL38" s="5"/>
      <c r="AM38" s="5"/>
      <c r="AN38" s="5"/>
      <c r="AO38" s="5"/>
      <c r="AP38" s="7"/>
      <c r="BB38" s="11">
        <v>0</v>
      </c>
      <c r="BC38" s="7">
        <v>1</v>
      </c>
    </row>
    <row r="39" spans="1:55" x14ac:dyDescent="0.25">
      <c r="A39" s="2">
        <v>5.6587725455488753</v>
      </c>
      <c r="B39" s="2">
        <v>-0.24780547391856089</v>
      </c>
      <c r="C39" s="2">
        <v>7</v>
      </c>
      <c r="D39" s="2">
        <v>1</v>
      </c>
      <c r="E39" s="6">
        <v>3.5</v>
      </c>
      <c r="F39" s="5">
        <v>6.25E-2</v>
      </c>
      <c r="G39" s="5"/>
      <c r="H39" s="5"/>
      <c r="I39" s="5"/>
      <c r="J39" s="5"/>
      <c r="K39" s="5"/>
      <c r="L39" s="5"/>
      <c r="M39" s="5"/>
      <c r="N39" s="7"/>
      <c r="O39" s="11">
        <v>-0.32054117582447361</v>
      </c>
      <c r="P39" s="5">
        <v>0.37427906088931895</v>
      </c>
      <c r="Q39" s="5">
        <v>0.37896483725158137</v>
      </c>
      <c r="R39" s="5"/>
      <c r="S39" s="5"/>
      <c r="T39" s="5"/>
      <c r="U39" s="5"/>
      <c r="V39" s="5"/>
      <c r="W39" s="5"/>
      <c r="X39" s="5"/>
      <c r="Y39" s="5"/>
      <c r="Z39" s="7"/>
      <c r="AA39" s="11"/>
      <c r="AB39" s="5"/>
      <c r="AC39" s="5"/>
      <c r="AD39" s="5"/>
      <c r="AE39" s="5"/>
      <c r="AF39" s="5"/>
      <c r="AG39" s="5"/>
      <c r="AH39" s="7"/>
      <c r="AI39" s="11"/>
      <c r="AJ39" s="5"/>
      <c r="AK39" s="5"/>
      <c r="AL39" s="5"/>
      <c r="AM39" s="5"/>
      <c r="AN39" s="5"/>
      <c r="AO39" s="5"/>
      <c r="AP39" s="7"/>
      <c r="BB39" s="11">
        <v>0</v>
      </c>
      <c r="BC39" s="7">
        <v>0</v>
      </c>
    </row>
    <row r="40" spans="1:55" x14ac:dyDescent="0.25">
      <c r="A40" s="2">
        <v>5.6643879512924595</v>
      </c>
      <c r="B40" s="2">
        <v>-0.16595777196926065</v>
      </c>
      <c r="C40" s="2">
        <v>6</v>
      </c>
      <c r="D40" s="2">
        <v>1</v>
      </c>
      <c r="E40" s="4">
        <v>3.6</v>
      </c>
      <c r="F40" s="5">
        <v>7.5000000000000011E-2</v>
      </c>
      <c r="G40" s="5"/>
      <c r="H40" s="5"/>
      <c r="I40" s="5"/>
      <c r="J40" s="5"/>
      <c r="K40" s="5"/>
      <c r="L40" s="5"/>
      <c r="M40" s="5"/>
      <c r="N40" s="7"/>
      <c r="O40" s="11">
        <v>-0.30023215913388412</v>
      </c>
      <c r="P40" s="5">
        <v>0.38200003823025808</v>
      </c>
      <c r="Q40" s="5">
        <v>0.38136124330877047</v>
      </c>
      <c r="R40" s="5"/>
      <c r="S40" s="5"/>
      <c r="T40" s="5"/>
      <c r="U40" s="5"/>
      <c r="V40" s="5"/>
      <c r="W40" s="5"/>
      <c r="X40" s="5"/>
      <c r="Y40" s="5"/>
      <c r="Z40" s="7"/>
      <c r="AA40" s="11"/>
      <c r="AB40" s="5"/>
      <c r="AC40" s="5"/>
      <c r="AD40" s="5"/>
      <c r="AE40" s="5"/>
      <c r="AF40" s="5"/>
      <c r="AG40" s="5"/>
      <c r="AH40" s="7"/>
      <c r="AI40" s="11"/>
      <c r="AJ40" s="5"/>
      <c r="AK40" s="5"/>
      <c r="AL40" s="5"/>
      <c r="AM40" s="5"/>
      <c r="AN40" s="5"/>
      <c r="AO40" s="5"/>
      <c r="AP40" s="7"/>
      <c r="BB40" s="11">
        <v>0</v>
      </c>
      <c r="BC40" s="7">
        <v>1</v>
      </c>
    </row>
    <row r="41" spans="1:55" x14ac:dyDescent="0.25">
      <c r="A41" s="2">
        <v>5.6800134281441697</v>
      </c>
      <c r="B41" s="2">
        <v>-0.15719933799118735</v>
      </c>
      <c r="C41" s="2">
        <v>7</v>
      </c>
      <c r="D41" s="2">
        <v>2</v>
      </c>
      <c r="E41" s="6">
        <v>3.7</v>
      </c>
      <c r="F41" s="5">
        <v>8.7500000000000022E-2</v>
      </c>
      <c r="G41" s="5"/>
      <c r="H41" s="5"/>
      <c r="I41" s="5"/>
      <c r="J41" s="5"/>
      <c r="K41" s="5"/>
      <c r="L41" s="5"/>
      <c r="M41" s="5"/>
      <c r="N41" s="7"/>
      <c r="O41" s="11">
        <v>-0.24780547391856089</v>
      </c>
      <c r="P41" s="5">
        <v>0.40214245971699258</v>
      </c>
      <c r="Q41" s="5">
        <v>0.38687938172719277</v>
      </c>
      <c r="R41" s="5"/>
      <c r="S41" s="5"/>
      <c r="T41" s="5"/>
      <c r="U41" s="5"/>
      <c r="V41" s="5"/>
      <c r="W41" s="5"/>
      <c r="X41" s="5"/>
      <c r="Y41" s="5"/>
      <c r="Z41" s="7"/>
      <c r="AA41" s="11"/>
      <c r="AB41" s="5"/>
      <c r="AC41" s="5"/>
      <c r="AD41" s="5"/>
      <c r="AE41" s="5"/>
      <c r="AF41" s="5"/>
      <c r="AG41" s="5"/>
      <c r="AH41" s="7"/>
      <c r="AI41" s="11"/>
      <c r="AJ41" s="5"/>
      <c r="AK41" s="5"/>
      <c r="AL41" s="5"/>
      <c r="AM41" s="5"/>
      <c r="AN41" s="5"/>
      <c r="AO41" s="5"/>
      <c r="AP41" s="7"/>
      <c r="BB41" s="11">
        <v>1</v>
      </c>
      <c r="BC41" s="7">
        <v>0</v>
      </c>
    </row>
    <row r="42" spans="1:55" x14ac:dyDescent="0.25">
      <c r="A42" s="2">
        <v>5.6807458723715936</v>
      </c>
      <c r="B42" s="2">
        <v>-0.13778844731859863</v>
      </c>
      <c r="C42" s="2">
        <v>8</v>
      </c>
      <c r="D42" s="2">
        <v>1</v>
      </c>
      <c r="E42" s="4">
        <v>3.8</v>
      </c>
      <c r="F42" s="5">
        <v>9.9999999999999978E-2</v>
      </c>
      <c r="G42" s="5"/>
      <c r="H42" s="5"/>
      <c r="I42" s="5"/>
      <c r="J42" s="5"/>
      <c r="K42" s="5"/>
      <c r="L42" s="5"/>
      <c r="M42" s="5"/>
      <c r="N42" s="7"/>
      <c r="O42" s="11">
        <v>-0.16595777196926065</v>
      </c>
      <c r="P42" s="5">
        <v>0.43409509117120398</v>
      </c>
      <c r="Q42" s="5">
        <v>0.39348610453322019</v>
      </c>
      <c r="R42" s="5"/>
      <c r="S42" s="5"/>
      <c r="T42" s="5"/>
      <c r="U42" s="5"/>
      <c r="V42" s="5"/>
      <c r="W42" s="5"/>
      <c r="X42" s="5"/>
      <c r="Y42" s="5"/>
      <c r="Z42" s="7"/>
      <c r="AA42" s="11"/>
      <c r="AB42" s="5"/>
      <c r="AC42" s="5"/>
      <c r="AD42" s="5"/>
      <c r="AE42" s="5"/>
      <c r="AF42" s="5"/>
      <c r="AG42" s="5"/>
      <c r="AH42" s="7"/>
      <c r="AI42" s="11"/>
      <c r="AJ42" s="5"/>
      <c r="AK42" s="5"/>
      <c r="AL42" s="5"/>
      <c r="AM42" s="5"/>
      <c r="AN42" s="5"/>
      <c r="AO42" s="5"/>
      <c r="AP42" s="7"/>
      <c r="BB42" s="11">
        <v>1</v>
      </c>
      <c r="BC42" s="7">
        <v>0</v>
      </c>
    </row>
    <row r="43" spans="1:55" x14ac:dyDescent="0.25">
      <c r="A43" s="2">
        <v>5.6875820184942167</v>
      </c>
      <c r="B43" s="2">
        <v>-0.12567284102260601</v>
      </c>
      <c r="C43" s="2">
        <v>10</v>
      </c>
      <c r="D43" s="2">
        <v>0</v>
      </c>
      <c r="E43" s="6">
        <v>3.9</v>
      </c>
      <c r="F43" s="5">
        <v>0.11249999999999999</v>
      </c>
      <c r="G43" s="5"/>
      <c r="H43" s="5"/>
      <c r="I43" s="5"/>
      <c r="J43" s="5"/>
      <c r="K43" s="5"/>
      <c r="L43" s="5"/>
      <c r="M43" s="5"/>
      <c r="N43" s="7"/>
      <c r="O43" s="11">
        <v>-0.15719933799118735</v>
      </c>
      <c r="P43" s="5">
        <v>0.43754387501073144</v>
      </c>
      <c r="Q43" s="5">
        <v>0.3940433504802342</v>
      </c>
      <c r="R43" s="5"/>
      <c r="S43" s="5"/>
      <c r="T43" s="5"/>
      <c r="U43" s="5"/>
      <c r="V43" s="5"/>
      <c r="W43" s="5"/>
      <c r="X43" s="5"/>
      <c r="Y43" s="5"/>
      <c r="Z43" s="7"/>
      <c r="AA43" s="11"/>
      <c r="AB43" s="5"/>
      <c r="AC43" s="5"/>
      <c r="AD43" s="5"/>
      <c r="AE43" s="5"/>
      <c r="AF43" s="5"/>
      <c r="AG43" s="5"/>
      <c r="AH43" s="7"/>
      <c r="AI43" s="11"/>
      <c r="AJ43" s="5"/>
      <c r="AK43" s="5"/>
      <c r="AL43" s="5"/>
      <c r="AM43" s="5"/>
      <c r="AN43" s="5"/>
      <c r="AO43" s="5"/>
      <c r="AP43" s="7"/>
      <c r="BB43" s="11">
        <v>1</v>
      </c>
      <c r="BC43" s="7">
        <v>0</v>
      </c>
    </row>
    <row r="44" spans="1:55" x14ac:dyDescent="0.25">
      <c r="A44" s="2">
        <v>5.7439802240058597</v>
      </c>
      <c r="B44" s="2">
        <v>-0.11465431271062698</v>
      </c>
      <c r="C44" s="2">
        <v>8</v>
      </c>
      <c r="D44" s="2">
        <v>0</v>
      </c>
      <c r="E44" s="4">
        <v>4</v>
      </c>
      <c r="F44" s="5">
        <v>0.125</v>
      </c>
      <c r="G44" s="5"/>
      <c r="H44" s="5"/>
      <c r="I44" s="5"/>
      <c r="J44" s="5"/>
      <c r="K44" s="5"/>
      <c r="L44" s="5"/>
      <c r="M44" s="5"/>
      <c r="N44" s="7"/>
      <c r="O44" s="11">
        <v>-0.13778844731859863</v>
      </c>
      <c r="P44" s="5">
        <v>0.44520380748533972</v>
      </c>
      <c r="Q44" s="5">
        <v>0.39517310826496083</v>
      </c>
      <c r="R44" s="5"/>
      <c r="S44" s="5"/>
      <c r="T44" s="5"/>
      <c r="U44" s="5"/>
      <c r="V44" s="5"/>
      <c r="W44" s="5"/>
      <c r="X44" s="5"/>
      <c r="Y44" s="5"/>
      <c r="Z44" s="7"/>
      <c r="AA44" s="11"/>
      <c r="AB44" s="5"/>
      <c r="AC44" s="5"/>
      <c r="AD44" s="5"/>
      <c r="AE44" s="5"/>
      <c r="AF44" s="5"/>
      <c r="AG44" s="5"/>
      <c r="AH44" s="7"/>
      <c r="AI44" s="11"/>
      <c r="AJ44" s="5"/>
      <c r="AK44" s="5"/>
      <c r="AL44" s="5"/>
      <c r="AM44" s="5"/>
      <c r="AN44" s="5"/>
      <c r="AO44" s="5"/>
      <c r="AP44" s="7"/>
      <c r="BB44" s="11">
        <v>0</v>
      </c>
      <c r="BC44" s="7">
        <v>1</v>
      </c>
    </row>
    <row r="45" spans="1:55" x14ac:dyDescent="0.25">
      <c r="A45" s="2">
        <v>5.8050172429578542</v>
      </c>
      <c r="B45" s="2">
        <v>-4.5799879444530234E-2</v>
      </c>
      <c r="C45" s="2">
        <v>10</v>
      </c>
      <c r="D45" s="2">
        <v>0</v>
      </c>
      <c r="E45" s="6">
        <v>4.0999999999999996</v>
      </c>
      <c r="F45" s="5">
        <v>0.13749999999999996</v>
      </c>
      <c r="G45" s="5"/>
      <c r="H45" s="5"/>
      <c r="I45" s="5"/>
      <c r="J45" s="5"/>
      <c r="K45" s="5"/>
      <c r="L45" s="5"/>
      <c r="M45" s="5"/>
      <c r="N45" s="7"/>
      <c r="O45" s="11">
        <v>-0.12567284102260601</v>
      </c>
      <c r="P45" s="5">
        <v>0.44999545055570234</v>
      </c>
      <c r="Q45" s="5">
        <v>0.39580430677217288</v>
      </c>
      <c r="R45" s="5"/>
      <c r="S45" s="5"/>
      <c r="T45" s="5"/>
      <c r="U45" s="5"/>
      <c r="V45" s="5"/>
      <c r="W45" s="5"/>
      <c r="X45" s="5"/>
      <c r="Y45" s="5"/>
      <c r="Z45" s="7"/>
      <c r="AA45" s="11"/>
      <c r="AB45" s="5"/>
      <c r="AC45" s="5"/>
      <c r="AD45" s="5"/>
      <c r="AE45" s="5"/>
      <c r="AF45" s="5"/>
      <c r="AG45" s="5"/>
      <c r="AH45" s="7"/>
      <c r="AI45" s="11"/>
      <c r="AJ45" s="5"/>
      <c r="AK45" s="5"/>
      <c r="AL45" s="5"/>
      <c r="AM45" s="5"/>
      <c r="AN45" s="5"/>
      <c r="AO45" s="5"/>
      <c r="AP45" s="7"/>
      <c r="BB45" s="11">
        <v>1</v>
      </c>
      <c r="BC45" s="7">
        <v>1</v>
      </c>
    </row>
    <row r="46" spans="1:55" x14ac:dyDescent="0.25">
      <c r="A46" s="2">
        <v>5.8865627002777181</v>
      </c>
      <c r="B46" s="2">
        <v>-3.9292444853344932E-2</v>
      </c>
      <c r="C46" s="2">
        <v>8</v>
      </c>
      <c r="D46" s="2">
        <v>1</v>
      </c>
      <c r="E46" s="4">
        <v>4.2</v>
      </c>
      <c r="F46" s="5">
        <v>0.15000000000000002</v>
      </c>
      <c r="G46" s="5"/>
      <c r="H46" s="5"/>
      <c r="I46" s="5"/>
      <c r="J46" s="5"/>
      <c r="K46" s="5"/>
      <c r="L46" s="5"/>
      <c r="M46" s="5"/>
      <c r="N46" s="7"/>
      <c r="O46" s="11">
        <v>-0.11465431271062698</v>
      </c>
      <c r="P46" s="5">
        <v>0.45435956410151734</v>
      </c>
      <c r="Q46" s="5">
        <v>0.39632870896010769</v>
      </c>
      <c r="R46" s="5"/>
      <c r="S46" s="5"/>
      <c r="T46" s="5"/>
      <c r="U46" s="5"/>
      <c r="V46" s="5"/>
      <c r="W46" s="5"/>
      <c r="X46" s="5"/>
      <c r="Y46" s="5"/>
      <c r="Z46" s="7"/>
      <c r="AA46" s="12"/>
      <c r="AB46" s="9"/>
      <c r="AC46" s="9"/>
      <c r="AD46" s="9"/>
      <c r="AE46" s="9"/>
      <c r="AF46" s="9"/>
      <c r="AG46" s="9"/>
      <c r="AH46" s="10"/>
      <c r="AI46" s="12"/>
      <c r="AJ46" s="9"/>
      <c r="AK46" s="9"/>
      <c r="AL46" s="9"/>
      <c r="AM46" s="9"/>
      <c r="AN46" s="9"/>
      <c r="AO46" s="9"/>
      <c r="AP46" s="10"/>
      <c r="BB46" s="11">
        <v>0</v>
      </c>
      <c r="BC46" s="7">
        <v>0</v>
      </c>
    </row>
    <row r="47" spans="1:55" x14ac:dyDescent="0.25">
      <c r="A47" s="2">
        <v>5.8946195867793811</v>
      </c>
      <c r="B47" s="2">
        <v>-6.999698598519899E-3</v>
      </c>
      <c r="C47" s="2">
        <v>7</v>
      </c>
      <c r="D47" s="2">
        <v>2</v>
      </c>
      <c r="E47" s="6">
        <v>4.3</v>
      </c>
      <c r="F47" s="5">
        <v>0.16249999999999998</v>
      </c>
      <c r="G47" s="5"/>
      <c r="H47" s="5"/>
      <c r="I47" s="5"/>
      <c r="J47" s="5"/>
      <c r="K47" s="5"/>
      <c r="L47" s="5"/>
      <c r="M47" s="5"/>
      <c r="N47" s="7"/>
      <c r="O47" s="11">
        <v>-4.5799879444530234E-2</v>
      </c>
      <c r="P47" s="5">
        <v>0.48173487745040283</v>
      </c>
      <c r="Q47" s="5">
        <v>0.39852408330555494</v>
      </c>
      <c r="R47" s="5"/>
      <c r="S47" s="5"/>
      <c r="T47" s="5"/>
      <c r="U47" s="5"/>
      <c r="V47" s="5"/>
      <c r="W47" s="5"/>
      <c r="X47" s="5"/>
      <c r="Y47" s="5"/>
      <c r="Z47" s="7"/>
      <c r="AA47" s="11"/>
      <c r="BB47" s="11">
        <v>0</v>
      </c>
      <c r="BC47" s="7">
        <v>0</v>
      </c>
    </row>
    <row r="48" spans="1:55" x14ac:dyDescent="0.25">
      <c r="A48" s="2">
        <v>5.9744560075685902</v>
      </c>
      <c r="B48" s="2">
        <v>6.3869265432003886E-3</v>
      </c>
      <c r="C48" s="2">
        <v>9</v>
      </c>
      <c r="D48" s="2">
        <v>2</v>
      </c>
      <c r="E48" s="4">
        <v>4.4000000000000004</v>
      </c>
      <c r="F48" s="5">
        <v>0.17500000000000004</v>
      </c>
      <c r="G48" s="5"/>
      <c r="H48" s="5"/>
      <c r="I48" s="5"/>
      <c r="J48" s="5"/>
      <c r="K48" s="5"/>
      <c r="L48" s="5"/>
      <c r="M48" s="5"/>
      <c r="N48" s="7"/>
      <c r="O48" s="11">
        <v>-3.9292444853344932E-2</v>
      </c>
      <c r="P48" s="5">
        <v>0.48432861505005081</v>
      </c>
      <c r="Q48" s="5">
        <v>0.39863443649661601</v>
      </c>
      <c r="R48" s="5"/>
      <c r="S48" s="5"/>
      <c r="T48" s="5"/>
      <c r="U48" s="5"/>
      <c r="V48" s="5"/>
      <c r="W48" s="5"/>
      <c r="X48" s="5"/>
      <c r="Y48" s="5"/>
      <c r="Z48" s="7"/>
      <c r="AA48" s="11"/>
      <c r="BB48" s="11">
        <v>1</v>
      </c>
      <c r="BC48" s="7">
        <v>1</v>
      </c>
    </row>
    <row r="49" spans="1:55" x14ac:dyDescent="0.25">
      <c r="A49" s="2">
        <v>6.0257271034882658</v>
      </c>
      <c r="B49" s="2">
        <v>1.0518306226003915E-2</v>
      </c>
      <c r="C49" s="2">
        <v>7</v>
      </c>
      <c r="D49" s="2">
        <v>1</v>
      </c>
      <c r="E49" s="6">
        <v>4.5</v>
      </c>
      <c r="F49" s="5">
        <v>0.1875</v>
      </c>
      <c r="G49" s="5"/>
      <c r="H49" s="5"/>
      <c r="I49" s="5"/>
      <c r="J49" s="5"/>
      <c r="K49" s="5"/>
      <c r="L49" s="5"/>
      <c r="M49" s="5"/>
      <c r="N49" s="7"/>
      <c r="O49" s="11">
        <v>-6.999698598519899E-3</v>
      </c>
      <c r="P49" s="5">
        <v>0.49720754708207071</v>
      </c>
      <c r="Q49" s="5">
        <v>0.39893250727694823</v>
      </c>
      <c r="R49" s="5"/>
      <c r="S49" s="5"/>
      <c r="T49" s="5"/>
      <c r="U49" s="5"/>
      <c r="V49" s="5"/>
      <c r="W49" s="5"/>
      <c r="X49" s="5"/>
      <c r="Y49" s="5"/>
      <c r="Z49" s="7"/>
      <c r="AA49" s="11"/>
      <c r="BB49" s="11">
        <v>0</v>
      </c>
      <c r="BC49" s="7">
        <v>0</v>
      </c>
    </row>
    <row r="50" spans="1:55" x14ac:dyDescent="0.25">
      <c r="A50" s="2">
        <v>6.0850550859096035</v>
      </c>
      <c r="B50" s="2">
        <v>3.8909320210223086E-2</v>
      </c>
      <c r="C50" s="2">
        <v>7</v>
      </c>
      <c r="D50" s="2">
        <v>3</v>
      </c>
      <c r="E50" s="4">
        <v>4.5999999999999996</v>
      </c>
      <c r="F50" s="5">
        <v>0.19999999999999996</v>
      </c>
      <c r="G50" s="5"/>
      <c r="H50" s="5"/>
      <c r="I50" s="5"/>
      <c r="J50" s="5"/>
      <c r="K50" s="5"/>
      <c r="L50" s="5"/>
      <c r="M50" s="5"/>
      <c r="N50" s="7"/>
      <c r="O50" s="11">
        <v>6.3869265432003886E-3</v>
      </c>
      <c r="P50" s="5">
        <v>0.50254799771654912</v>
      </c>
      <c r="Q50" s="5">
        <v>0.39893414349196948</v>
      </c>
      <c r="R50" s="5"/>
      <c r="S50" s="5"/>
      <c r="T50" s="5"/>
      <c r="U50" s="5"/>
      <c r="V50" s="5"/>
      <c r="W50" s="5"/>
      <c r="X50" s="5"/>
      <c r="Y50" s="5"/>
      <c r="Z50" s="7"/>
      <c r="AA50" s="11"/>
      <c r="BB50" s="11">
        <v>1</v>
      </c>
      <c r="BC50" s="7">
        <v>1</v>
      </c>
    </row>
    <row r="51" spans="1:55" x14ac:dyDescent="0.25">
      <c r="A51" s="2">
        <v>6.2527848139896847</v>
      </c>
      <c r="B51" s="2">
        <v>4.1665089156595059E-2</v>
      </c>
      <c r="C51" s="2">
        <v>6</v>
      </c>
      <c r="D51" s="2">
        <v>1</v>
      </c>
      <c r="E51" s="6">
        <v>4.7</v>
      </c>
      <c r="F51" s="5">
        <v>0.21250000000000002</v>
      </c>
      <c r="G51" s="5"/>
      <c r="H51" s="5"/>
      <c r="I51" s="5"/>
      <c r="J51" s="5"/>
      <c r="K51" s="5"/>
      <c r="L51" s="5"/>
      <c r="M51" s="5"/>
      <c r="N51" s="7"/>
      <c r="O51" s="11">
        <v>1.0518306226003915E-2</v>
      </c>
      <c r="P51" s="5">
        <v>0.50419611969883316</v>
      </c>
      <c r="Q51" s="5">
        <v>0.39892021256891297</v>
      </c>
      <c r="R51" s="5"/>
      <c r="S51" s="5"/>
      <c r="T51" s="5"/>
      <c r="U51" s="5"/>
      <c r="V51" s="5"/>
      <c r="W51" s="5"/>
      <c r="X51" s="5"/>
      <c r="Y51" s="5"/>
      <c r="Z51" s="7"/>
      <c r="AA51" s="11"/>
      <c r="BB51" s="11">
        <v>1</v>
      </c>
      <c r="BC51" s="7">
        <v>0</v>
      </c>
    </row>
    <row r="52" spans="1:55" x14ac:dyDescent="0.25">
      <c r="A52" s="2">
        <v>6.314798425244911</v>
      </c>
      <c r="B52" s="2">
        <v>0.10164967534365132</v>
      </c>
      <c r="C52" s="2">
        <v>8</v>
      </c>
      <c r="D52" s="2">
        <v>0</v>
      </c>
      <c r="E52" s="4">
        <v>4.8</v>
      </c>
      <c r="F52" s="5">
        <v>0.22499999999999998</v>
      </c>
      <c r="G52" s="5"/>
      <c r="H52" s="5"/>
      <c r="I52" s="5"/>
      <c r="J52" s="5"/>
      <c r="K52" s="5"/>
      <c r="L52" s="5"/>
      <c r="M52" s="5"/>
      <c r="N52" s="7"/>
      <c r="O52" s="11">
        <v>3.8909320210223086E-2</v>
      </c>
      <c r="P52" s="5">
        <v>0.51551865712789458</v>
      </c>
      <c r="Q52" s="5">
        <v>0.39864040828917247</v>
      </c>
      <c r="R52" s="5"/>
      <c r="S52" s="5"/>
      <c r="T52" s="5"/>
      <c r="U52" s="5"/>
      <c r="V52" s="5"/>
      <c r="W52" s="5"/>
      <c r="X52" s="5"/>
      <c r="Y52" s="5"/>
      <c r="Z52" s="7"/>
      <c r="AA52" s="11"/>
      <c r="BB52" s="11">
        <v>0</v>
      </c>
      <c r="BC52" s="7">
        <v>1</v>
      </c>
    </row>
    <row r="53" spans="1:55" x14ac:dyDescent="0.25">
      <c r="A53" s="2">
        <v>6.3501998962370676</v>
      </c>
      <c r="B53" s="2">
        <v>0.14350462151924148</v>
      </c>
      <c r="C53" s="2">
        <v>9</v>
      </c>
      <c r="D53" s="2">
        <v>0</v>
      </c>
      <c r="E53" s="6">
        <v>4.9000000000000004</v>
      </c>
      <c r="F53" s="5">
        <v>0.23750000000000004</v>
      </c>
      <c r="G53" s="5"/>
      <c r="H53" s="5"/>
      <c r="I53" s="5"/>
      <c r="J53" s="5"/>
      <c r="K53" s="5"/>
      <c r="L53" s="5"/>
      <c r="M53" s="5"/>
      <c r="N53" s="7"/>
      <c r="O53" s="11">
        <v>4.1665089156595059E-2</v>
      </c>
      <c r="P53" s="5">
        <v>0.51661715770093852</v>
      </c>
      <c r="Q53" s="5">
        <v>0.39859615279974869</v>
      </c>
      <c r="R53" s="5"/>
      <c r="S53" s="5"/>
      <c r="T53" s="5"/>
      <c r="U53" s="5"/>
      <c r="V53" s="5"/>
      <c r="W53" s="5"/>
      <c r="X53" s="5"/>
      <c r="Y53" s="5"/>
      <c r="Z53" s="7"/>
      <c r="AA53" s="11"/>
      <c r="BB53" s="11">
        <v>1</v>
      </c>
      <c r="BC53" s="7">
        <v>0</v>
      </c>
    </row>
    <row r="54" spans="1:55" x14ac:dyDescent="0.25">
      <c r="A54" s="2">
        <v>6.3611865596484272</v>
      </c>
      <c r="B54" s="2">
        <v>0.15541786524408963</v>
      </c>
      <c r="C54" s="2">
        <v>7</v>
      </c>
      <c r="D54" s="2">
        <v>2</v>
      </c>
      <c r="E54" s="4">
        <v>5</v>
      </c>
      <c r="F54" s="5">
        <v>0.25</v>
      </c>
      <c r="G54" s="5"/>
      <c r="H54" s="5"/>
      <c r="I54" s="5"/>
      <c r="J54" s="5"/>
      <c r="K54" s="5"/>
      <c r="L54" s="5"/>
      <c r="M54" s="5"/>
      <c r="N54" s="7"/>
      <c r="O54" s="11">
        <v>0.10164967534365132</v>
      </c>
      <c r="P54" s="5">
        <v>0.54048262579928674</v>
      </c>
      <c r="Q54" s="5">
        <v>0.39688652854551792</v>
      </c>
      <c r="R54" s="5"/>
      <c r="S54" s="5"/>
      <c r="T54" s="5"/>
      <c r="U54" s="5"/>
      <c r="V54" s="5"/>
      <c r="W54" s="5"/>
      <c r="X54" s="5"/>
      <c r="Y54" s="5"/>
      <c r="Z54" s="7"/>
      <c r="AA54" s="11"/>
      <c r="BB54" s="11">
        <v>0</v>
      </c>
      <c r="BC54" s="7">
        <v>1</v>
      </c>
    </row>
    <row r="55" spans="1:55" x14ac:dyDescent="0.25">
      <c r="A55" s="2">
        <v>6.621204260383923</v>
      </c>
      <c r="B55" s="2">
        <v>0.16502667676832061</v>
      </c>
      <c r="C55" s="2">
        <v>8</v>
      </c>
      <c r="D55" s="2">
        <v>0</v>
      </c>
      <c r="E55" s="6">
        <v>5.0999999999999996</v>
      </c>
      <c r="F55" s="5">
        <v>0.26249999999999996</v>
      </c>
      <c r="G55" s="5"/>
      <c r="H55" s="5"/>
      <c r="I55" s="5"/>
      <c r="J55" s="5"/>
      <c r="K55" s="5"/>
      <c r="L55" s="5"/>
      <c r="M55" s="5"/>
      <c r="N55" s="7"/>
      <c r="O55" s="11">
        <v>0.14350462151924148</v>
      </c>
      <c r="P55" s="5">
        <v>0.55705416920839812</v>
      </c>
      <c r="Q55" s="5">
        <v>0.39485553253291222</v>
      </c>
      <c r="R55" s="5"/>
      <c r="S55" s="5"/>
      <c r="T55" s="5"/>
      <c r="U55" s="5"/>
      <c r="V55" s="5"/>
      <c r="W55" s="5"/>
      <c r="X55" s="5"/>
      <c r="Y55" s="5"/>
      <c r="Z55" s="7"/>
      <c r="AA55" s="11"/>
      <c r="BB55" s="11">
        <v>1</v>
      </c>
      <c r="BC55" s="7">
        <v>1</v>
      </c>
    </row>
    <row r="56" spans="1:55" x14ac:dyDescent="0.25">
      <c r="A56" s="2">
        <v>6.741569261757256</v>
      </c>
      <c r="B56" s="2">
        <v>0.18584614736028016</v>
      </c>
      <c r="C56" s="2">
        <v>8</v>
      </c>
      <c r="D56" s="2">
        <v>0</v>
      </c>
      <c r="E56" s="4">
        <v>5.2</v>
      </c>
      <c r="F56" s="5">
        <v>0.27500000000000002</v>
      </c>
      <c r="G56" s="5"/>
      <c r="H56" s="5"/>
      <c r="I56" s="5"/>
      <c r="J56" s="5"/>
      <c r="K56" s="5"/>
      <c r="L56" s="5"/>
      <c r="M56" s="5"/>
      <c r="N56" s="7"/>
      <c r="O56" s="11">
        <v>0.15541786524408963</v>
      </c>
      <c r="P56" s="5">
        <v>0.56175404956830699</v>
      </c>
      <c r="Q56" s="5">
        <v>0.39415309087849171</v>
      </c>
      <c r="R56" s="5"/>
      <c r="S56" s="5"/>
      <c r="T56" s="5"/>
      <c r="U56" s="5"/>
      <c r="V56" s="5"/>
      <c r="W56" s="5"/>
      <c r="X56" s="5"/>
      <c r="Y56" s="5"/>
      <c r="Z56" s="7"/>
      <c r="AA56" s="11"/>
      <c r="BB56" s="11">
        <v>0</v>
      </c>
      <c r="BC56" s="7">
        <v>1</v>
      </c>
    </row>
    <row r="57" spans="1:55" x14ac:dyDescent="0.25">
      <c r="A57" s="2">
        <v>6.8441114535966063</v>
      </c>
      <c r="B57" s="2">
        <v>0.21966002350382041</v>
      </c>
      <c r="C57" s="2">
        <v>8</v>
      </c>
      <c r="D57" s="2">
        <v>0</v>
      </c>
      <c r="E57" s="6">
        <v>5.3</v>
      </c>
      <c r="F57" s="5">
        <v>0.28749999999999998</v>
      </c>
      <c r="G57" s="5"/>
      <c r="H57" s="5"/>
      <c r="I57" s="5"/>
      <c r="J57" s="5"/>
      <c r="K57" s="5"/>
      <c r="L57" s="5"/>
      <c r="M57" s="5"/>
      <c r="N57" s="7"/>
      <c r="O57" s="11">
        <v>0.16502667676832061</v>
      </c>
      <c r="P57" s="5">
        <v>0.56553850755027879</v>
      </c>
      <c r="Q57" s="5">
        <v>0.39354674109143284</v>
      </c>
      <c r="R57" s="5"/>
      <c r="S57" s="5"/>
      <c r="T57" s="5"/>
      <c r="U57" s="5"/>
      <c r="V57" s="5"/>
      <c r="W57" s="5"/>
      <c r="X57" s="5"/>
      <c r="Y57" s="5"/>
      <c r="Z57" s="7"/>
      <c r="AA57" s="11"/>
      <c r="BB57" s="11">
        <v>0</v>
      </c>
      <c r="BC57" s="7">
        <v>0</v>
      </c>
    </row>
    <row r="58" spans="1:55" x14ac:dyDescent="0.25">
      <c r="A58" s="2">
        <v>6.9022186956389051</v>
      </c>
      <c r="B58" s="2">
        <v>0.27559281079447828</v>
      </c>
      <c r="C58" s="2">
        <v>10</v>
      </c>
      <c r="D58" s="2">
        <v>1</v>
      </c>
      <c r="E58" s="4">
        <v>5.4</v>
      </c>
      <c r="F58" s="5">
        <v>0.30000000000000004</v>
      </c>
      <c r="G58" s="5"/>
      <c r="H58" s="5"/>
      <c r="I58" s="5"/>
      <c r="J58" s="5"/>
      <c r="K58" s="5"/>
      <c r="L58" s="5"/>
      <c r="M58" s="5"/>
      <c r="N58" s="7"/>
      <c r="O58" s="11">
        <v>0.18584614736028016</v>
      </c>
      <c r="P58" s="5">
        <v>0.57371729274197758</v>
      </c>
      <c r="Q58" s="5">
        <v>0.39211193618985951</v>
      </c>
      <c r="R58" s="5"/>
      <c r="S58" s="5"/>
      <c r="T58" s="5"/>
      <c r="U58" s="5"/>
      <c r="V58" s="5"/>
      <c r="W58" s="5"/>
      <c r="X58" s="5"/>
      <c r="Y58" s="5"/>
      <c r="Z58" s="7"/>
      <c r="AA58" s="11"/>
      <c r="BB58" s="11">
        <v>1</v>
      </c>
      <c r="BC58" s="7">
        <v>0</v>
      </c>
    </row>
    <row r="59" spans="1:55" x14ac:dyDescent="0.25">
      <c r="A59" s="2">
        <v>6.9818109683523062</v>
      </c>
      <c r="B59" s="2">
        <v>0.29128159440006129</v>
      </c>
      <c r="C59" s="2">
        <v>7</v>
      </c>
      <c r="D59" s="2">
        <v>1</v>
      </c>
      <c r="E59" s="6">
        <v>5.5</v>
      </c>
      <c r="F59" s="5">
        <v>0.3125</v>
      </c>
      <c r="G59" s="5"/>
      <c r="H59" s="5"/>
      <c r="I59" s="5"/>
      <c r="J59" s="5"/>
      <c r="K59" s="5"/>
      <c r="L59" s="5"/>
      <c r="M59" s="5"/>
      <c r="N59" s="7"/>
      <c r="O59" s="11">
        <v>0.21966002350382041</v>
      </c>
      <c r="P59" s="5">
        <v>0.58693202957414048</v>
      </c>
      <c r="Q59" s="5">
        <v>0.38943286280453965</v>
      </c>
      <c r="R59" s="5"/>
      <c r="S59" s="5"/>
      <c r="T59" s="5"/>
      <c r="U59" s="5"/>
      <c r="V59" s="5"/>
      <c r="W59" s="5"/>
      <c r="X59" s="5"/>
      <c r="Y59" s="5"/>
      <c r="Z59" s="7"/>
      <c r="AA59" s="11"/>
      <c r="BB59" s="11">
        <v>0</v>
      </c>
      <c r="BC59" s="7">
        <v>1</v>
      </c>
    </row>
    <row r="60" spans="1:55" x14ac:dyDescent="0.25">
      <c r="A60" s="2">
        <v>7.06457716605121</v>
      </c>
      <c r="B60" s="2">
        <v>0.29383613764366601</v>
      </c>
      <c r="C60" s="2">
        <v>9</v>
      </c>
      <c r="D60" s="2">
        <v>0</v>
      </c>
      <c r="E60" s="4">
        <v>5.6</v>
      </c>
      <c r="F60" s="5">
        <v>0.32499999999999996</v>
      </c>
      <c r="G60" s="5"/>
      <c r="H60" s="5"/>
      <c r="I60" s="5"/>
      <c r="J60" s="5"/>
      <c r="K60" s="5"/>
      <c r="L60" s="5"/>
      <c r="M60" s="5"/>
      <c r="N60" s="7"/>
      <c r="O60" s="11">
        <v>0.27559281079447828</v>
      </c>
      <c r="P60" s="5">
        <v>0.60856958396770622</v>
      </c>
      <c r="Q60" s="5">
        <v>0.3840762294567458</v>
      </c>
      <c r="R60" s="5"/>
      <c r="S60" s="5"/>
      <c r="T60" s="5"/>
      <c r="U60" s="5"/>
      <c r="V60" s="5"/>
      <c r="W60" s="5"/>
      <c r="X60" s="5"/>
      <c r="Y60" s="5"/>
      <c r="Z60" s="7"/>
      <c r="AA60" s="11"/>
      <c r="BB60" s="11">
        <v>0</v>
      </c>
      <c r="BC60" s="7">
        <v>1</v>
      </c>
    </row>
    <row r="61" spans="1:55" x14ac:dyDescent="0.25">
      <c r="A61" s="2">
        <v>7.0777611621448404</v>
      </c>
      <c r="B61" s="2">
        <v>0.32828211260493845</v>
      </c>
      <c r="C61" s="2">
        <v>7</v>
      </c>
      <c r="D61" s="2">
        <v>1</v>
      </c>
      <c r="E61" s="6">
        <v>5.7</v>
      </c>
      <c r="F61" s="5">
        <v>0.33750000000000002</v>
      </c>
      <c r="G61" s="5"/>
      <c r="H61" s="5"/>
      <c r="I61" s="5"/>
      <c r="J61" s="5"/>
      <c r="K61" s="5"/>
      <c r="L61" s="5"/>
      <c r="M61" s="5"/>
      <c r="N61" s="7"/>
      <c r="O61" s="11">
        <v>0.29128159440006129</v>
      </c>
      <c r="P61" s="5">
        <v>0.61458201850795402</v>
      </c>
      <c r="Q61" s="5">
        <v>0.38237211678417471</v>
      </c>
      <c r="R61" s="5"/>
      <c r="S61" s="5"/>
      <c r="T61" s="5"/>
      <c r="U61" s="5"/>
      <c r="V61" s="5"/>
      <c r="W61" s="5"/>
      <c r="X61" s="5"/>
      <c r="Y61" s="5"/>
      <c r="Z61" s="7"/>
      <c r="AA61" s="11"/>
      <c r="BB61" s="11">
        <v>0</v>
      </c>
      <c r="BC61" s="7">
        <v>1</v>
      </c>
    </row>
    <row r="62" spans="1:55" x14ac:dyDescent="0.25">
      <c r="A62" s="2">
        <v>7.145146031067843</v>
      </c>
      <c r="B62" s="2">
        <v>0.33733840609784238</v>
      </c>
      <c r="C62" s="2">
        <v>7</v>
      </c>
      <c r="D62" s="2">
        <v>1</v>
      </c>
      <c r="E62" s="4">
        <v>5.8</v>
      </c>
      <c r="F62" s="5">
        <v>0.35</v>
      </c>
      <c r="G62" s="5"/>
      <c r="H62" s="5"/>
      <c r="I62" s="5"/>
      <c r="J62" s="5"/>
      <c r="K62" s="5"/>
      <c r="L62" s="5"/>
      <c r="M62" s="5"/>
      <c r="N62" s="7"/>
      <c r="O62" s="11">
        <v>0.29383613764366601</v>
      </c>
      <c r="P62" s="5">
        <v>0.61555844023468875</v>
      </c>
      <c r="Q62" s="5">
        <v>0.38208645610638658</v>
      </c>
      <c r="R62" s="5"/>
      <c r="S62" s="5"/>
      <c r="T62" s="5"/>
      <c r="U62" s="5"/>
      <c r="V62" s="5"/>
      <c r="W62" s="5"/>
      <c r="X62" s="5"/>
      <c r="Y62" s="5"/>
      <c r="Z62" s="7"/>
      <c r="AA62" s="11"/>
      <c r="BB62" s="11">
        <v>0</v>
      </c>
      <c r="BC62" s="7">
        <v>0</v>
      </c>
    </row>
    <row r="63" spans="1:55" x14ac:dyDescent="0.25">
      <c r="A63" s="2">
        <v>7.1744438001648003</v>
      </c>
      <c r="B63" s="2">
        <v>0.36524852475849912</v>
      </c>
      <c r="C63" s="2">
        <v>10</v>
      </c>
      <c r="D63" s="2">
        <v>2</v>
      </c>
      <c r="E63" s="6">
        <v>5.9</v>
      </c>
      <c r="F63" s="5">
        <v>0.36250000000000004</v>
      </c>
      <c r="G63" s="5"/>
      <c r="H63" s="5"/>
      <c r="I63" s="5"/>
      <c r="J63" s="5"/>
      <c r="K63" s="5"/>
      <c r="L63" s="5"/>
      <c r="M63" s="5"/>
      <c r="N63" s="7"/>
      <c r="O63" s="11">
        <v>0.32828211260493845</v>
      </c>
      <c r="P63" s="5">
        <v>0.62865081623982366</v>
      </c>
      <c r="Q63" s="5">
        <v>0.37801435574102038</v>
      </c>
      <c r="R63" s="5"/>
      <c r="S63" s="5"/>
      <c r="T63" s="5"/>
      <c r="U63" s="5"/>
      <c r="V63" s="5"/>
      <c r="W63" s="5"/>
      <c r="X63" s="5"/>
      <c r="Y63" s="5"/>
      <c r="Z63" s="7"/>
      <c r="AA63" s="11"/>
      <c r="BB63" s="11">
        <v>0</v>
      </c>
      <c r="BC63" s="7">
        <v>0</v>
      </c>
    </row>
    <row r="64" spans="1:55" x14ac:dyDescent="0.25">
      <c r="A64" s="2">
        <v>7.3358256782738733</v>
      </c>
      <c r="B64" s="2">
        <v>0.36868414099444635</v>
      </c>
      <c r="C64" s="2">
        <v>8</v>
      </c>
      <c r="D64" s="2">
        <v>0</v>
      </c>
      <c r="E64" s="4">
        <v>6</v>
      </c>
      <c r="F64" s="5">
        <v>0.375</v>
      </c>
      <c r="G64" s="5"/>
      <c r="H64" s="5"/>
      <c r="I64" s="5"/>
      <c r="J64" s="5"/>
      <c r="K64" s="5"/>
      <c r="L64" s="5"/>
      <c r="M64" s="5"/>
      <c r="N64" s="7"/>
      <c r="O64" s="11">
        <v>0.33733840609784238</v>
      </c>
      <c r="P64" s="5">
        <v>0.632069094607979</v>
      </c>
      <c r="Q64" s="5">
        <v>0.37687672540617706</v>
      </c>
      <c r="R64" s="5"/>
      <c r="S64" s="5"/>
      <c r="T64" s="5"/>
      <c r="U64" s="5"/>
      <c r="V64" s="5"/>
      <c r="W64" s="5"/>
      <c r="X64" s="5"/>
      <c r="Y64" s="5"/>
      <c r="Z64" s="7"/>
      <c r="AA64" s="11"/>
      <c r="BB64" s="11">
        <v>0</v>
      </c>
      <c r="BC64" s="7">
        <v>1</v>
      </c>
    </row>
    <row r="65" spans="1:55" x14ac:dyDescent="0.25">
      <c r="A65" s="2">
        <v>7.3607287820062872</v>
      </c>
      <c r="B65" s="2">
        <v>0.38371013033611234</v>
      </c>
      <c r="C65" s="2">
        <v>8</v>
      </c>
      <c r="D65" s="2">
        <v>1</v>
      </c>
      <c r="E65" s="6">
        <v>6.1</v>
      </c>
      <c r="F65" s="5">
        <v>0.38749999999999996</v>
      </c>
      <c r="G65" s="5"/>
      <c r="H65" s="5"/>
      <c r="I65" s="5"/>
      <c r="J65" s="5"/>
      <c r="K65" s="5"/>
      <c r="L65" s="5"/>
      <c r="M65" s="5"/>
      <c r="N65" s="7"/>
      <c r="O65" s="11">
        <v>0.36524852475849912</v>
      </c>
      <c r="P65" s="5">
        <v>0.64253705043603737</v>
      </c>
      <c r="Q65" s="5">
        <v>0.37319963963271036</v>
      </c>
      <c r="R65" s="5"/>
      <c r="S65" s="5"/>
      <c r="T65" s="5"/>
      <c r="U65" s="5"/>
      <c r="V65" s="5"/>
      <c r="W65" s="5"/>
      <c r="X65" s="5"/>
      <c r="Y65" s="5"/>
      <c r="Z65" s="7"/>
      <c r="AA65" s="11"/>
      <c r="BB65" s="11">
        <v>1</v>
      </c>
      <c r="BC65" s="7">
        <v>1</v>
      </c>
    </row>
    <row r="66" spans="1:55" x14ac:dyDescent="0.25">
      <c r="A66" s="2">
        <v>7.4376354258857997</v>
      </c>
      <c r="B66" s="2">
        <v>0.38931602830416523</v>
      </c>
      <c r="C66" s="2">
        <v>8</v>
      </c>
      <c r="D66" s="2">
        <v>0</v>
      </c>
      <c r="E66" s="4">
        <v>6.2</v>
      </c>
      <c r="F66" s="5">
        <v>0.4</v>
      </c>
      <c r="G66" s="5"/>
      <c r="H66" s="5"/>
      <c r="I66" s="5"/>
      <c r="J66" s="5"/>
      <c r="K66" s="5"/>
      <c r="L66" s="5"/>
      <c r="M66" s="5"/>
      <c r="N66" s="7"/>
      <c r="O66" s="11">
        <v>0.36868414099444635</v>
      </c>
      <c r="P66" s="5">
        <v>0.64381841452524702</v>
      </c>
      <c r="Q66" s="5">
        <v>0.37272942261432934</v>
      </c>
      <c r="R66" s="5"/>
      <c r="S66" s="5"/>
      <c r="T66" s="5"/>
      <c r="U66" s="5"/>
      <c r="V66" s="5"/>
      <c r="W66" s="5"/>
      <c r="X66" s="5"/>
      <c r="Y66" s="5"/>
      <c r="Z66" s="7"/>
      <c r="AA66" s="11"/>
      <c r="BB66" s="11">
        <v>0</v>
      </c>
      <c r="BC66" s="7">
        <v>0</v>
      </c>
    </row>
    <row r="67" spans="1:55" x14ac:dyDescent="0.25">
      <c r="A67" s="2">
        <v>7.5838801232947786</v>
      </c>
      <c r="B67" s="2">
        <v>0.39385895433952101</v>
      </c>
      <c r="C67" s="2">
        <v>8</v>
      </c>
      <c r="D67" s="2">
        <v>1</v>
      </c>
      <c r="E67" s="6">
        <v>6.3</v>
      </c>
      <c r="F67" s="5">
        <v>0.41249999999999998</v>
      </c>
      <c r="G67" s="5"/>
      <c r="H67" s="5"/>
      <c r="I67" s="5"/>
      <c r="J67" s="5"/>
      <c r="K67" s="5"/>
      <c r="L67" s="5"/>
      <c r="M67" s="5"/>
      <c r="N67" s="7"/>
      <c r="O67" s="11">
        <v>0.38371013033611234</v>
      </c>
      <c r="P67" s="5">
        <v>0.64940334828952473</v>
      </c>
      <c r="Q67" s="5">
        <v>0.37062842606006541</v>
      </c>
      <c r="R67" s="5"/>
      <c r="S67" s="5"/>
      <c r="T67" s="5"/>
      <c r="U67" s="5"/>
      <c r="V67" s="5"/>
      <c r="W67" s="5"/>
      <c r="X67" s="5"/>
      <c r="Y67" s="5"/>
      <c r="Z67" s="7"/>
      <c r="AA67" s="11"/>
      <c r="BB67" s="11">
        <v>1</v>
      </c>
      <c r="BC67" s="7">
        <v>1</v>
      </c>
    </row>
    <row r="68" spans="1:55" x14ac:dyDescent="0.25">
      <c r="A68" s="2">
        <v>7.6214789269692069</v>
      </c>
      <c r="B68" s="2">
        <v>0.40048007576842792</v>
      </c>
      <c r="C68" s="2">
        <v>8</v>
      </c>
      <c r="D68" s="2">
        <v>1</v>
      </c>
      <c r="E68" s="4">
        <v>6.4</v>
      </c>
      <c r="F68" s="5">
        <v>0.42500000000000004</v>
      </c>
      <c r="G68" s="5"/>
      <c r="H68" s="5"/>
      <c r="I68" s="5"/>
      <c r="J68" s="5"/>
      <c r="K68" s="5"/>
      <c r="L68" s="5"/>
      <c r="M68" s="5"/>
      <c r="N68" s="7"/>
      <c r="O68" s="11">
        <v>0.38931602830416523</v>
      </c>
      <c r="P68" s="5">
        <v>0.65147880955343063</v>
      </c>
      <c r="Q68" s="5">
        <v>0.36982623523675684</v>
      </c>
      <c r="R68" s="5"/>
      <c r="S68" s="5"/>
      <c r="T68" s="5"/>
      <c r="U68" s="5"/>
      <c r="V68" s="5"/>
      <c r="W68" s="5"/>
      <c r="X68" s="5"/>
      <c r="Y68" s="5"/>
      <c r="Z68" s="7"/>
      <c r="AA68" s="11"/>
      <c r="BB68" s="11">
        <v>1</v>
      </c>
      <c r="BC68" s="7">
        <v>1</v>
      </c>
    </row>
    <row r="69" spans="1:55" x14ac:dyDescent="0.25">
      <c r="A69" s="2">
        <v>7.7530747398297066</v>
      </c>
      <c r="B69" s="2">
        <v>0.4130288289161399</v>
      </c>
      <c r="C69" s="2">
        <v>8</v>
      </c>
      <c r="D69" s="2">
        <v>3</v>
      </c>
      <c r="E69" s="6">
        <v>6.5</v>
      </c>
      <c r="F69" s="5">
        <v>0.4375</v>
      </c>
      <c r="G69" s="5"/>
      <c r="H69" s="5"/>
      <c r="I69" s="5"/>
      <c r="J69" s="5"/>
      <c r="K69" s="5"/>
      <c r="L69" s="5"/>
      <c r="M69" s="5"/>
      <c r="N69" s="7"/>
      <c r="O69" s="11">
        <v>0.39385895433952101</v>
      </c>
      <c r="P69" s="5">
        <v>0.65315741215529233</v>
      </c>
      <c r="Q69" s="5">
        <v>0.36916891658545681</v>
      </c>
      <c r="R69" s="5"/>
      <c r="S69" s="5"/>
      <c r="T69" s="5"/>
      <c r="U69" s="5"/>
      <c r="V69" s="5"/>
      <c r="W69" s="5"/>
      <c r="X69" s="5"/>
      <c r="Y69" s="5"/>
      <c r="Z69" s="7"/>
      <c r="AA69" s="11"/>
      <c r="BB69" s="11">
        <v>0</v>
      </c>
      <c r="BC69" s="7">
        <v>0</v>
      </c>
    </row>
    <row r="70" spans="1:55" x14ac:dyDescent="0.25">
      <c r="A70" s="2">
        <v>7.7674794763023778</v>
      </c>
      <c r="B70" s="2">
        <v>0.45234401113702916</v>
      </c>
      <c r="C70" s="2">
        <v>9</v>
      </c>
      <c r="D70" s="2">
        <v>0</v>
      </c>
      <c r="E70" s="4">
        <v>6.6</v>
      </c>
      <c r="F70" s="5">
        <v>0.44999999999999996</v>
      </c>
      <c r="G70" s="5"/>
      <c r="H70" s="5"/>
      <c r="I70" s="5"/>
      <c r="J70" s="5"/>
      <c r="K70" s="5"/>
      <c r="L70" s="5"/>
      <c r="M70" s="5"/>
      <c r="N70" s="7"/>
      <c r="O70" s="11">
        <v>0.40048007576842792</v>
      </c>
      <c r="P70" s="5">
        <v>0.65559852219996984</v>
      </c>
      <c r="Q70" s="5">
        <v>0.36819938563478527</v>
      </c>
      <c r="R70" s="5"/>
      <c r="S70" s="5"/>
      <c r="T70" s="5"/>
      <c r="U70" s="5"/>
      <c r="V70" s="5"/>
      <c r="W70" s="5"/>
      <c r="X70" s="5"/>
      <c r="Y70" s="5"/>
      <c r="Z70" s="7"/>
      <c r="AA70" s="11"/>
      <c r="BB70" s="11">
        <v>0</v>
      </c>
      <c r="BC70" s="7">
        <v>1</v>
      </c>
    </row>
    <row r="71" spans="1:55" x14ac:dyDescent="0.25">
      <c r="A71" s="2">
        <v>7.8431653798028504</v>
      </c>
      <c r="B71" s="2">
        <v>0.4704691036749864</v>
      </c>
      <c r="C71" s="2">
        <v>9</v>
      </c>
      <c r="D71" s="2">
        <v>1</v>
      </c>
      <c r="E71" s="6">
        <v>6.7</v>
      </c>
      <c r="F71" s="5">
        <v>0.46250000000000002</v>
      </c>
      <c r="G71" s="5"/>
      <c r="H71" s="5"/>
      <c r="I71" s="5"/>
      <c r="J71" s="5"/>
      <c r="K71" s="5"/>
      <c r="L71" s="5"/>
      <c r="M71" s="5"/>
      <c r="N71" s="7"/>
      <c r="O71" s="11">
        <v>0.4130288289161399</v>
      </c>
      <c r="P71" s="5">
        <v>0.66020725394066415</v>
      </c>
      <c r="Q71" s="5">
        <v>0.36632478807938446</v>
      </c>
      <c r="R71" s="5"/>
      <c r="S71" s="5"/>
      <c r="T71" s="5"/>
      <c r="U71" s="5"/>
      <c r="V71" s="5"/>
      <c r="W71" s="5"/>
      <c r="X71" s="5"/>
      <c r="Y71" s="5"/>
      <c r="Z71" s="7"/>
      <c r="AA71" s="11"/>
      <c r="BB71" s="11">
        <v>1</v>
      </c>
      <c r="BC71" s="7">
        <v>0</v>
      </c>
    </row>
    <row r="72" spans="1:55" x14ac:dyDescent="0.25">
      <c r="A72" s="2">
        <v>7.9989318521683401</v>
      </c>
      <c r="B72" s="2">
        <v>0.48521769713261165</v>
      </c>
      <c r="C72" s="2">
        <v>7</v>
      </c>
      <c r="D72" s="2">
        <v>0</v>
      </c>
      <c r="E72" s="4">
        <v>6.8</v>
      </c>
      <c r="F72" s="5">
        <v>0.47499999999999998</v>
      </c>
      <c r="G72" s="5"/>
      <c r="H72" s="5"/>
      <c r="I72" s="5"/>
      <c r="J72" s="5"/>
      <c r="K72" s="5"/>
      <c r="L72" s="5"/>
      <c r="M72" s="5"/>
      <c r="N72" s="7"/>
      <c r="O72" s="11">
        <v>0.45234401113702916</v>
      </c>
      <c r="P72" s="5">
        <v>0.67448941261380713</v>
      </c>
      <c r="Q72" s="5">
        <v>0.36014588791588759</v>
      </c>
      <c r="R72" s="5"/>
      <c r="S72" s="5"/>
      <c r="T72" s="5"/>
      <c r="U72" s="5"/>
      <c r="V72" s="5"/>
      <c r="W72" s="5"/>
      <c r="X72" s="5"/>
      <c r="Y72" s="5"/>
      <c r="Z72" s="7"/>
      <c r="AA72" s="11"/>
      <c r="BB72" s="11">
        <v>1</v>
      </c>
      <c r="BC72" s="7">
        <v>1</v>
      </c>
    </row>
    <row r="73" spans="1:55" x14ac:dyDescent="0.25">
      <c r="A73" s="2">
        <v>8.0013733329264198</v>
      </c>
      <c r="B73" s="2">
        <v>0.50815174290619325</v>
      </c>
      <c r="C73" s="2">
        <v>8</v>
      </c>
      <c r="D73" s="2">
        <v>1</v>
      </c>
      <c r="E73" s="6">
        <v>6.9</v>
      </c>
      <c r="F73" s="5">
        <v>0.48750000000000004</v>
      </c>
      <c r="G73" s="5"/>
      <c r="H73" s="5"/>
      <c r="I73" s="5"/>
      <c r="J73" s="5"/>
      <c r="K73" s="5"/>
      <c r="L73" s="5"/>
      <c r="M73" s="5"/>
      <c r="N73" s="7"/>
      <c r="O73" s="11">
        <v>0.4704691036749864</v>
      </c>
      <c r="P73" s="5">
        <v>0.68099004845207844</v>
      </c>
      <c r="Q73" s="5">
        <v>0.35714653402611035</v>
      </c>
      <c r="R73" s="5"/>
      <c r="S73" s="5"/>
      <c r="T73" s="5"/>
      <c r="U73" s="5"/>
      <c r="V73" s="5"/>
      <c r="W73" s="5"/>
      <c r="X73" s="5"/>
      <c r="Y73" s="5"/>
      <c r="Z73" s="7"/>
      <c r="AA73" s="11"/>
      <c r="BB73" s="11">
        <v>0</v>
      </c>
      <c r="BC73" s="7">
        <v>0</v>
      </c>
    </row>
    <row r="74" spans="1:55" x14ac:dyDescent="0.25">
      <c r="A74" s="2">
        <v>8.2931302835169518</v>
      </c>
      <c r="B74" s="2">
        <v>0.52642917580669746</v>
      </c>
      <c r="C74" s="2">
        <v>7</v>
      </c>
      <c r="D74" s="2">
        <v>1</v>
      </c>
      <c r="E74" s="4">
        <v>7</v>
      </c>
      <c r="F74" s="5">
        <v>0.5</v>
      </c>
      <c r="G74" s="5"/>
      <c r="H74" s="5"/>
      <c r="I74" s="5"/>
      <c r="J74" s="5"/>
      <c r="K74" s="5"/>
      <c r="L74" s="5"/>
      <c r="M74" s="5"/>
      <c r="N74" s="7"/>
      <c r="O74" s="11">
        <v>0.48521769713261165</v>
      </c>
      <c r="P74" s="5">
        <v>0.68623903507987682</v>
      </c>
      <c r="Q74" s="5">
        <v>0.35463838587224233</v>
      </c>
      <c r="R74" s="5"/>
      <c r="S74" s="5"/>
      <c r="T74" s="5"/>
      <c r="U74" s="5"/>
      <c r="V74" s="5"/>
      <c r="W74" s="5"/>
      <c r="X74" s="5"/>
      <c r="Y74" s="5"/>
      <c r="Z74" s="7"/>
      <c r="AA74" s="11"/>
      <c r="BB74" s="11">
        <v>0</v>
      </c>
      <c r="BC74" s="7">
        <v>0</v>
      </c>
    </row>
    <row r="75" spans="1:55" x14ac:dyDescent="0.25">
      <c r="A75" s="2">
        <v>8.3395184179204698</v>
      </c>
      <c r="B75" s="2">
        <v>0.54364136303775012</v>
      </c>
      <c r="C75" s="2">
        <v>5</v>
      </c>
      <c r="D75" s="2">
        <v>0</v>
      </c>
      <c r="E75" s="6">
        <v>7.1</v>
      </c>
      <c r="F75" s="5">
        <v>0.51249999999999996</v>
      </c>
      <c r="G75" s="5"/>
      <c r="H75" s="5"/>
      <c r="I75" s="5"/>
      <c r="J75" s="5"/>
      <c r="K75" s="5"/>
      <c r="L75" s="5"/>
      <c r="M75" s="5"/>
      <c r="N75" s="7"/>
      <c r="O75" s="11">
        <v>0.50815174290619325</v>
      </c>
      <c r="P75" s="5">
        <v>0.69432653478884743</v>
      </c>
      <c r="Q75" s="5">
        <v>0.35062162440603961</v>
      </c>
      <c r="R75" s="5"/>
      <c r="S75" s="5"/>
      <c r="T75" s="5"/>
      <c r="U75" s="5"/>
      <c r="V75" s="5"/>
      <c r="W75" s="5"/>
      <c r="X75" s="5"/>
      <c r="Y75" s="5"/>
      <c r="Z75" s="7"/>
      <c r="AA75" s="11"/>
      <c r="BB75" s="11">
        <v>0</v>
      </c>
      <c r="BC75" s="7">
        <v>1</v>
      </c>
    </row>
    <row r="76" spans="1:55" x14ac:dyDescent="0.25">
      <c r="A76" s="2">
        <v>8.3605151524399552</v>
      </c>
      <c r="B76" s="2">
        <v>0.623099367658142</v>
      </c>
      <c r="C76" s="2">
        <v>8</v>
      </c>
      <c r="D76" s="2">
        <v>0</v>
      </c>
      <c r="E76" s="4">
        <v>7.2</v>
      </c>
      <c r="F76" s="5">
        <v>0.52500000000000002</v>
      </c>
      <c r="G76" s="5"/>
      <c r="H76" s="5"/>
      <c r="I76" s="5"/>
      <c r="J76" s="5"/>
      <c r="K76" s="5"/>
      <c r="L76" s="5"/>
      <c r="M76" s="5"/>
      <c r="N76" s="7"/>
      <c r="O76" s="11">
        <v>0.52642917580669746</v>
      </c>
      <c r="P76" s="5">
        <v>0.70070497563812517</v>
      </c>
      <c r="Q76" s="5">
        <v>0.34732220966199556</v>
      </c>
      <c r="R76" s="5"/>
      <c r="S76" s="5"/>
      <c r="T76" s="5"/>
      <c r="U76" s="5"/>
      <c r="V76" s="5"/>
      <c r="W76" s="5"/>
      <c r="X76" s="5"/>
      <c r="Y76" s="5"/>
      <c r="Z76" s="7"/>
      <c r="AA76" s="11"/>
      <c r="BB76" s="11">
        <v>1</v>
      </c>
      <c r="BC76" s="7">
        <v>1</v>
      </c>
    </row>
    <row r="77" spans="1:55" x14ac:dyDescent="0.25">
      <c r="A77" s="2">
        <v>8.4532914212469876</v>
      </c>
      <c r="B77" s="2">
        <v>0.62337676354218274</v>
      </c>
      <c r="C77" s="2">
        <v>7</v>
      </c>
      <c r="D77" s="2">
        <v>1</v>
      </c>
      <c r="E77" s="6">
        <v>7.3</v>
      </c>
      <c r="F77" s="5">
        <v>0.53749999999999998</v>
      </c>
      <c r="G77" s="5"/>
      <c r="H77" s="5"/>
      <c r="I77" s="5"/>
      <c r="J77" s="5"/>
      <c r="K77" s="5"/>
      <c r="L77" s="5"/>
      <c r="M77" s="5"/>
      <c r="N77" s="7"/>
      <c r="O77" s="11">
        <v>0.54364136303775012</v>
      </c>
      <c r="P77" s="5">
        <v>0.70665585487436278</v>
      </c>
      <c r="Q77" s="5">
        <v>0.34413835799141868</v>
      </c>
      <c r="R77" s="5"/>
      <c r="S77" s="5"/>
      <c r="T77" s="5"/>
      <c r="U77" s="5"/>
      <c r="V77" s="5"/>
      <c r="W77" s="5"/>
      <c r="X77" s="5"/>
      <c r="Y77" s="5"/>
      <c r="Z77" s="7"/>
      <c r="AA77" s="11"/>
      <c r="BB77" s="11">
        <v>0</v>
      </c>
      <c r="BC77" s="7">
        <v>0</v>
      </c>
    </row>
    <row r="78" spans="1:55" x14ac:dyDescent="0.25">
      <c r="A78" s="2">
        <v>8.5926999725333424</v>
      </c>
      <c r="B78" s="2">
        <v>0.64404275690321811</v>
      </c>
      <c r="C78" s="2">
        <v>9</v>
      </c>
      <c r="D78" s="2">
        <v>2</v>
      </c>
      <c r="E78" s="4">
        <v>7.4</v>
      </c>
      <c r="F78" s="5">
        <v>0.55000000000000004</v>
      </c>
      <c r="G78" s="5"/>
      <c r="H78" s="5"/>
      <c r="I78" s="5"/>
      <c r="J78" s="5"/>
      <c r="K78" s="5"/>
      <c r="L78" s="5"/>
      <c r="M78" s="5"/>
      <c r="N78" s="7"/>
      <c r="O78" s="11">
        <v>0.623099367658142</v>
      </c>
      <c r="P78" s="5">
        <v>0.7333903873772073</v>
      </c>
      <c r="Q78" s="5">
        <v>0.3285504275902299</v>
      </c>
      <c r="R78" s="5"/>
      <c r="S78" s="5"/>
      <c r="T78" s="5"/>
      <c r="U78" s="5"/>
      <c r="V78" s="5"/>
      <c r="W78" s="5"/>
      <c r="X78" s="5"/>
      <c r="Y78" s="5"/>
      <c r="Z78" s="7"/>
      <c r="AA78" s="11"/>
      <c r="BB78" s="11">
        <v>1</v>
      </c>
      <c r="BC78" s="7">
        <v>0</v>
      </c>
    </row>
    <row r="79" spans="1:55" x14ac:dyDescent="0.25">
      <c r="A79" s="2">
        <v>8.7003692739646592</v>
      </c>
      <c r="B79" s="2">
        <v>0.64620962803019211</v>
      </c>
      <c r="C79" s="2">
        <v>8</v>
      </c>
      <c r="D79" s="2">
        <v>2</v>
      </c>
      <c r="E79" s="6">
        <v>7.5</v>
      </c>
      <c r="F79" s="5">
        <v>0.5625</v>
      </c>
      <c r="G79" s="5"/>
      <c r="H79" s="5"/>
      <c r="I79" s="5"/>
      <c r="J79" s="5"/>
      <c r="K79" s="5"/>
      <c r="L79" s="5"/>
      <c r="M79" s="5"/>
      <c r="N79" s="7"/>
      <c r="O79" s="11">
        <v>0.62337676354218274</v>
      </c>
      <c r="P79" s="5">
        <v>0.73348151803637651</v>
      </c>
      <c r="Q79" s="5">
        <v>0.32849363149485661</v>
      </c>
      <c r="R79" s="5"/>
      <c r="S79" s="5"/>
      <c r="T79" s="5"/>
      <c r="U79" s="5"/>
      <c r="V79" s="5"/>
      <c r="W79" s="5"/>
      <c r="X79" s="5"/>
      <c r="Y79" s="5"/>
      <c r="Z79" s="7"/>
      <c r="AA79" s="11"/>
      <c r="BB79" s="11">
        <v>1</v>
      </c>
      <c r="BC79" s="7">
        <v>1</v>
      </c>
    </row>
    <row r="80" spans="1:55" x14ac:dyDescent="0.25">
      <c r="A80" s="2">
        <v>8.7277138584551537</v>
      </c>
      <c r="B80" s="2">
        <v>0.72101329351426102</v>
      </c>
      <c r="C80" s="2">
        <v>7</v>
      </c>
      <c r="D80" s="2">
        <v>1</v>
      </c>
      <c r="E80" s="4">
        <v>7.6</v>
      </c>
      <c r="F80" s="5">
        <v>0.57499999999999996</v>
      </c>
      <c r="G80" s="5"/>
      <c r="H80" s="5"/>
      <c r="I80" s="5"/>
      <c r="J80" s="5"/>
      <c r="K80" s="5"/>
      <c r="L80" s="5"/>
      <c r="M80" s="5"/>
      <c r="N80" s="7"/>
      <c r="O80" s="11">
        <v>0.64404275690321811</v>
      </c>
      <c r="P80" s="5">
        <v>0.74022614582226254</v>
      </c>
      <c r="Q80" s="5">
        <v>0.32421964715295643</v>
      </c>
      <c r="R80" s="5"/>
      <c r="S80" s="5"/>
      <c r="T80" s="5"/>
      <c r="U80" s="5"/>
      <c r="V80" s="5"/>
      <c r="W80" s="5"/>
      <c r="X80" s="5"/>
      <c r="Y80" s="5"/>
      <c r="Z80" s="7"/>
      <c r="AA80" s="11"/>
      <c r="BB80" s="11">
        <v>1</v>
      </c>
      <c r="BC80" s="7">
        <v>1</v>
      </c>
    </row>
    <row r="81" spans="1:55" x14ac:dyDescent="0.25">
      <c r="A81" s="2">
        <v>8.749687185277871</v>
      </c>
      <c r="B81" s="2">
        <v>0.75659272624761797</v>
      </c>
      <c r="C81" s="2">
        <v>6</v>
      </c>
      <c r="D81" s="2">
        <v>1</v>
      </c>
      <c r="E81" s="6">
        <v>7.7</v>
      </c>
      <c r="F81" s="5">
        <v>0.58750000000000002</v>
      </c>
      <c r="G81" s="5"/>
      <c r="H81" s="5"/>
      <c r="I81" s="5"/>
      <c r="J81" s="5"/>
      <c r="K81" s="5"/>
      <c r="L81" s="5"/>
      <c r="M81" s="5"/>
      <c r="N81" s="7"/>
      <c r="O81" s="11">
        <v>0.64620962803019211</v>
      </c>
      <c r="P81" s="5">
        <v>0.74092819747417005</v>
      </c>
      <c r="Q81" s="5">
        <v>0.3237667354210606</v>
      </c>
      <c r="R81" s="5"/>
      <c r="S81" s="5"/>
      <c r="T81" s="5"/>
      <c r="U81" s="5"/>
      <c r="V81" s="5"/>
      <c r="W81" s="5"/>
      <c r="X81" s="5"/>
      <c r="Y81" s="5"/>
      <c r="Z81" s="7"/>
      <c r="AA81" s="11"/>
      <c r="BB81" s="11">
        <v>0</v>
      </c>
      <c r="BC81" s="7">
        <v>0</v>
      </c>
    </row>
    <row r="82" spans="1:55" x14ac:dyDescent="0.25">
      <c r="A82" s="2">
        <v>8.8900723288674577</v>
      </c>
      <c r="B82" s="2">
        <v>0.79053961599129252</v>
      </c>
      <c r="C82" s="2">
        <v>9</v>
      </c>
      <c r="D82" s="2">
        <v>1</v>
      </c>
      <c r="E82" s="4">
        <v>7.8</v>
      </c>
      <c r="F82" s="5">
        <v>0.6</v>
      </c>
      <c r="G82" s="5"/>
      <c r="H82" s="5"/>
      <c r="I82" s="5"/>
      <c r="J82" s="5"/>
      <c r="K82" s="5"/>
      <c r="L82" s="5"/>
      <c r="M82" s="5"/>
      <c r="N82" s="7"/>
      <c r="O82" s="11">
        <v>0.72101329351426102</v>
      </c>
      <c r="P82" s="5">
        <v>0.76454933208807052</v>
      </c>
      <c r="Q82" s="5">
        <v>0.30762658499701429</v>
      </c>
      <c r="R82" s="5"/>
      <c r="S82" s="5"/>
      <c r="T82" s="5"/>
      <c r="U82" s="5"/>
      <c r="V82" s="5"/>
      <c r="W82" s="5"/>
      <c r="X82" s="5"/>
      <c r="Y82" s="5"/>
      <c r="Z82" s="7"/>
      <c r="AA82" s="11"/>
      <c r="BB82" s="11">
        <v>1</v>
      </c>
      <c r="BC82" s="7">
        <v>1</v>
      </c>
    </row>
    <row r="83" spans="1:55" x14ac:dyDescent="0.25">
      <c r="A83" s="2">
        <v>8.9557481612598053</v>
      </c>
      <c r="B83" s="2">
        <v>0.82220140029676259</v>
      </c>
      <c r="C83" s="2">
        <v>8</v>
      </c>
      <c r="D83" s="2">
        <v>2</v>
      </c>
      <c r="E83" s="6">
        <v>7.9</v>
      </c>
      <c r="F83" s="5">
        <v>0.61250000000000004</v>
      </c>
      <c r="G83" s="5"/>
      <c r="H83" s="5"/>
      <c r="I83" s="5"/>
      <c r="J83" s="5"/>
      <c r="K83" s="5"/>
      <c r="L83" s="5"/>
      <c r="M83" s="5"/>
      <c r="N83" s="7"/>
      <c r="O83" s="11">
        <v>0.75659272624761797</v>
      </c>
      <c r="P83" s="5">
        <v>0.77535304978414632</v>
      </c>
      <c r="Q83" s="5">
        <v>0.29964560781279193</v>
      </c>
      <c r="R83" s="5"/>
      <c r="S83" s="5"/>
      <c r="T83" s="5"/>
      <c r="U83" s="5"/>
      <c r="V83" s="5"/>
      <c r="W83" s="5"/>
      <c r="X83" s="5"/>
      <c r="Y83" s="5"/>
      <c r="Z83" s="7"/>
      <c r="AA83" s="11"/>
      <c r="BB83" s="11">
        <v>1</v>
      </c>
      <c r="BC83" s="7">
        <v>0</v>
      </c>
    </row>
    <row r="84" spans="1:55" x14ac:dyDescent="0.25">
      <c r="A84" s="2">
        <v>8.975280007324443</v>
      </c>
      <c r="B84" s="2">
        <v>0.83059603639412671</v>
      </c>
      <c r="C84" s="2">
        <v>8</v>
      </c>
      <c r="D84" s="2">
        <v>1</v>
      </c>
      <c r="E84" s="4">
        <v>8</v>
      </c>
      <c r="F84" s="5">
        <v>0.625</v>
      </c>
      <c r="G84" s="5"/>
      <c r="H84" s="5"/>
      <c r="I84" s="5"/>
      <c r="J84" s="5"/>
      <c r="K84" s="5"/>
      <c r="L84" s="5"/>
      <c r="M84" s="5"/>
      <c r="N84" s="7"/>
      <c r="O84" s="11">
        <v>0.79053961599129252</v>
      </c>
      <c r="P84" s="5">
        <v>0.78539365215668133</v>
      </c>
      <c r="Q84" s="5">
        <v>0.2918792833345521</v>
      </c>
      <c r="R84" s="5"/>
      <c r="S84" s="5"/>
      <c r="T84" s="5"/>
      <c r="U84" s="5"/>
      <c r="V84" s="5"/>
      <c r="W84" s="5"/>
      <c r="X84" s="5"/>
      <c r="Y84" s="5"/>
      <c r="Z84" s="7"/>
      <c r="AA84" s="11"/>
      <c r="BB84" s="11">
        <v>1</v>
      </c>
      <c r="BC84" s="7">
        <v>0</v>
      </c>
    </row>
    <row r="85" spans="1:55" x14ac:dyDescent="0.25">
      <c r="A85" s="2">
        <v>9.095889156773584</v>
      </c>
      <c r="B85" s="2">
        <v>0.85547981143463403</v>
      </c>
      <c r="C85" s="2">
        <v>9</v>
      </c>
      <c r="D85" s="2">
        <v>0</v>
      </c>
      <c r="E85" s="6">
        <v>8.1</v>
      </c>
      <c r="F85" s="5">
        <v>0.63749999999999996</v>
      </c>
      <c r="G85" s="5"/>
      <c r="H85" s="5"/>
      <c r="I85" s="5"/>
      <c r="J85" s="5"/>
      <c r="K85" s="5"/>
      <c r="L85" s="5"/>
      <c r="M85" s="5"/>
      <c r="N85" s="7"/>
      <c r="O85" s="11">
        <v>0.82220140029676259</v>
      </c>
      <c r="P85" s="5">
        <v>0.79451885902643438</v>
      </c>
      <c r="Q85" s="5">
        <v>0.28452160031204254</v>
      </c>
      <c r="R85" s="5"/>
      <c r="S85" s="5"/>
      <c r="T85" s="5"/>
      <c r="U85" s="5"/>
      <c r="V85" s="5"/>
      <c r="W85" s="5"/>
      <c r="X85" s="5"/>
      <c r="Y85" s="5"/>
      <c r="Z85" s="7"/>
      <c r="AA85" s="11"/>
      <c r="BB85" s="11">
        <v>0</v>
      </c>
      <c r="BC85" s="7">
        <v>0</v>
      </c>
    </row>
    <row r="86" spans="1:55" x14ac:dyDescent="0.25">
      <c r="A86" s="2">
        <v>9.103946043275247</v>
      </c>
      <c r="B86" s="2">
        <v>0.85757847045897506</v>
      </c>
      <c r="C86" s="2">
        <v>8</v>
      </c>
      <c r="D86" s="2">
        <v>2</v>
      </c>
      <c r="E86" s="4">
        <v>8.1999999999999993</v>
      </c>
      <c r="F86" s="5">
        <v>0.64999999999999991</v>
      </c>
      <c r="G86" s="5"/>
      <c r="H86" s="5"/>
      <c r="I86" s="5"/>
      <c r="J86" s="5"/>
      <c r="K86" s="5"/>
      <c r="L86" s="5"/>
      <c r="M86" s="5"/>
      <c r="N86" s="7"/>
      <c r="O86" s="11">
        <v>0.83059603639412671</v>
      </c>
      <c r="P86" s="5">
        <v>0.79689906269015909</v>
      </c>
      <c r="Q86" s="5">
        <v>0.28255461460608039</v>
      </c>
      <c r="R86" s="5"/>
      <c r="S86" s="5"/>
      <c r="T86" s="5"/>
      <c r="U86" s="5"/>
      <c r="V86" s="5"/>
      <c r="W86" s="5"/>
      <c r="X86" s="5"/>
      <c r="Y86" s="5"/>
      <c r="Z86" s="7"/>
      <c r="AA86" s="11"/>
      <c r="BB86" s="11">
        <v>0</v>
      </c>
      <c r="BC86" s="7">
        <v>1</v>
      </c>
    </row>
    <row r="87" spans="1:55" x14ac:dyDescent="0.25">
      <c r="A87" s="2">
        <v>9.1327555162205876</v>
      </c>
      <c r="B87" s="2">
        <v>0.88090700955945067</v>
      </c>
      <c r="C87" s="2">
        <v>7</v>
      </c>
      <c r="D87" s="2">
        <v>0</v>
      </c>
      <c r="E87" s="6">
        <v>8.3000000000000007</v>
      </c>
      <c r="F87" s="5">
        <v>0.66250000000000009</v>
      </c>
      <c r="G87" s="5"/>
      <c r="H87" s="5"/>
      <c r="I87" s="5"/>
      <c r="J87" s="5"/>
      <c r="K87" s="5"/>
      <c r="L87" s="5"/>
      <c r="M87" s="5"/>
      <c r="N87" s="7"/>
      <c r="O87" s="11">
        <v>0.85547981143463403</v>
      </c>
      <c r="P87" s="5">
        <v>0.80385721188490877</v>
      </c>
      <c r="Q87" s="5">
        <v>0.27668893363204611</v>
      </c>
      <c r="R87" s="5"/>
      <c r="S87" s="5"/>
      <c r="T87" s="5"/>
      <c r="U87" s="5"/>
      <c r="V87" s="5"/>
      <c r="W87" s="5"/>
      <c r="X87" s="5"/>
      <c r="Y87" s="5"/>
      <c r="Z87" s="7"/>
      <c r="AA87" s="11"/>
      <c r="BB87" s="11">
        <v>0</v>
      </c>
      <c r="BC87" s="7">
        <v>1</v>
      </c>
    </row>
    <row r="88" spans="1:55" x14ac:dyDescent="0.25">
      <c r="A88" s="2">
        <v>9.2145451216162613</v>
      </c>
      <c r="B88" s="2">
        <v>0.95156337920343503</v>
      </c>
      <c r="C88" s="2">
        <v>7</v>
      </c>
      <c r="D88" s="2">
        <v>3</v>
      </c>
      <c r="E88" s="4">
        <v>8.4</v>
      </c>
      <c r="F88" s="5">
        <v>0.67500000000000004</v>
      </c>
      <c r="G88" s="5"/>
      <c r="H88" s="5"/>
      <c r="I88" s="5"/>
      <c r="J88" s="5"/>
      <c r="K88" s="5"/>
      <c r="L88" s="5"/>
      <c r="M88" s="5"/>
      <c r="N88" s="7"/>
      <c r="O88" s="11">
        <v>0.85757847045897506</v>
      </c>
      <c r="P88" s="5">
        <v>0.80443736623743267</v>
      </c>
      <c r="Q88" s="5">
        <v>0.27619201470524679</v>
      </c>
      <c r="R88" s="5"/>
      <c r="S88" s="5"/>
      <c r="T88" s="5"/>
      <c r="U88" s="5"/>
      <c r="V88" s="5"/>
      <c r="W88" s="5"/>
      <c r="X88" s="5"/>
      <c r="Y88" s="5"/>
      <c r="Z88" s="7"/>
      <c r="AA88" s="11"/>
      <c r="BB88" s="11">
        <v>0</v>
      </c>
      <c r="BC88" s="7">
        <v>0</v>
      </c>
    </row>
    <row r="89" spans="1:55" x14ac:dyDescent="0.25">
      <c r="A89" s="2">
        <v>9.2565385906552322</v>
      </c>
      <c r="B89" s="2">
        <v>0.97369138529757038</v>
      </c>
      <c r="C89" s="2">
        <v>5</v>
      </c>
      <c r="D89" s="2">
        <v>0</v>
      </c>
      <c r="E89" s="6">
        <v>8.5</v>
      </c>
      <c r="F89" s="5">
        <v>0.6875</v>
      </c>
      <c r="G89" s="5"/>
      <c r="H89" s="5"/>
      <c r="I89" s="5"/>
      <c r="J89" s="5"/>
      <c r="K89" s="5"/>
      <c r="L89" s="5"/>
      <c r="M89" s="5"/>
      <c r="N89" s="7"/>
      <c r="O89" s="11">
        <v>0.88090700955945067</v>
      </c>
      <c r="P89" s="5">
        <v>0.81081592338193953</v>
      </c>
      <c r="Q89" s="5">
        <v>0.27064775166267896</v>
      </c>
      <c r="R89" s="5"/>
      <c r="S89" s="5"/>
      <c r="T89" s="5"/>
      <c r="U89" s="5"/>
      <c r="V89" s="5"/>
      <c r="W89" s="5"/>
      <c r="X89" s="5"/>
      <c r="Y89" s="5"/>
      <c r="Z89" s="7"/>
      <c r="AA89" s="11"/>
      <c r="BB89" s="11">
        <v>1</v>
      </c>
      <c r="BC89" s="7">
        <v>1</v>
      </c>
    </row>
    <row r="90" spans="1:55" x14ac:dyDescent="0.25">
      <c r="A90" s="2">
        <v>9.5690481276894435</v>
      </c>
      <c r="B90" s="2">
        <v>1.0098437996930443</v>
      </c>
      <c r="C90" s="2">
        <v>7</v>
      </c>
      <c r="D90" s="2">
        <v>0</v>
      </c>
      <c r="E90" s="4">
        <v>8.6</v>
      </c>
      <c r="F90" s="5">
        <v>0.7</v>
      </c>
      <c r="G90" s="5"/>
      <c r="H90" s="5"/>
      <c r="I90" s="5"/>
      <c r="J90" s="5"/>
      <c r="K90" s="5"/>
      <c r="L90" s="5"/>
      <c r="M90" s="5"/>
      <c r="N90" s="7"/>
      <c r="O90" s="11">
        <v>0.95156337920343503</v>
      </c>
      <c r="P90" s="5">
        <v>0.82934076936538959</v>
      </c>
      <c r="Q90" s="5">
        <v>0.25368169540665075</v>
      </c>
      <c r="R90" s="5"/>
      <c r="S90" s="5"/>
      <c r="T90" s="5"/>
      <c r="U90" s="5"/>
      <c r="V90" s="5"/>
      <c r="W90" s="5"/>
      <c r="X90" s="5"/>
      <c r="Y90" s="5"/>
      <c r="Z90" s="7"/>
      <c r="AA90" s="11"/>
      <c r="BB90" s="11">
        <v>0</v>
      </c>
      <c r="BC90" s="7">
        <v>1</v>
      </c>
    </row>
    <row r="91" spans="1:55" x14ac:dyDescent="0.25">
      <c r="A91" s="2">
        <v>9.6086001159703365</v>
      </c>
      <c r="B91" s="2">
        <v>1.1312681635899935</v>
      </c>
      <c r="C91" s="2">
        <v>8</v>
      </c>
      <c r="D91" s="2">
        <v>2</v>
      </c>
      <c r="E91" s="6">
        <v>8.6999999999999993</v>
      </c>
      <c r="F91" s="5">
        <v>0.71249999999999991</v>
      </c>
      <c r="G91" s="5"/>
      <c r="H91" s="5"/>
      <c r="I91" s="5"/>
      <c r="J91" s="5"/>
      <c r="K91" s="5"/>
      <c r="L91" s="5"/>
      <c r="M91" s="5"/>
      <c r="N91" s="7"/>
      <c r="O91" s="11">
        <v>0.97369138529757038</v>
      </c>
      <c r="P91" s="5">
        <v>0.83489510202127071</v>
      </c>
      <c r="Q91" s="5">
        <v>0.24833516086594934</v>
      </c>
      <c r="R91" s="5"/>
      <c r="S91" s="5"/>
      <c r="T91" s="5"/>
      <c r="U91" s="5"/>
      <c r="V91" s="5"/>
      <c r="W91" s="5"/>
      <c r="X91" s="5"/>
      <c r="Y91" s="5"/>
      <c r="Z91" s="7"/>
      <c r="AA91" s="11"/>
      <c r="BB91" s="11">
        <v>0</v>
      </c>
      <c r="BC91" s="7">
        <v>0</v>
      </c>
    </row>
    <row r="92" spans="1:55" x14ac:dyDescent="0.25">
      <c r="A92" s="2">
        <v>9.6862392040772729</v>
      </c>
      <c r="B92" s="2">
        <v>1.1331553650961723</v>
      </c>
      <c r="C92" s="2">
        <v>7</v>
      </c>
      <c r="D92" s="2">
        <v>2</v>
      </c>
      <c r="E92" s="4">
        <v>8.8000000000000007</v>
      </c>
      <c r="F92" s="5">
        <v>0.72500000000000009</v>
      </c>
      <c r="G92" s="5"/>
      <c r="H92" s="5"/>
      <c r="I92" s="5"/>
      <c r="J92" s="5"/>
      <c r="K92" s="5"/>
      <c r="L92" s="5"/>
      <c r="M92" s="5"/>
      <c r="N92" s="7"/>
      <c r="O92" s="11">
        <v>1.0098437996930443</v>
      </c>
      <c r="P92" s="5">
        <v>0.84371493407217413</v>
      </c>
      <c r="Q92" s="5">
        <v>0.23958888992099495</v>
      </c>
      <c r="R92" s="5"/>
      <c r="S92" s="5"/>
      <c r="T92" s="5"/>
      <c r="U92" s="5"/>
      <c r="V92" s="5"/>
      <c r="W92" s="5"/>
      <c r="X92" s="5"/>
      <c r="Y92" s="5"/>
      <c r="Z92" s="7"/>
      <c r="AA92" s="11"/>
      <c r="BB92" s="11">
        <v>1</v>
      </c>
      <c r="BC92" s="7">
        <v>1</v>
      </c>
    </row>
    <row r="93" spans="1:55" x14ac:dyDescent="0.25">
      <c r="A93" s="2">
        <v>9.8500625629444265</v>
      </c>
      <c r="B93" s="2">
        <v>1.1385509424144402</v>
      </c>
      <c r="C93" s="2">
        <v>9</v>
      </c>
      <c r="D93" s="2">
        <v>3</v>
      </c>
      <c r="E93" s="6">
        <v>8.9</v>
      </c>
      <c r="F93" s="5">
        <v>0.73750000000000004</v>
      </c>
      <c r="G93" s="5"/>
      <c r="H93" s="5"/>
      <c r="I93" s="5"/>
      <c r="J93" s="5"/>
      <c r="K93" s="5"/>
      <c r="L93" s="5"/>
      <c r="M93" s="5"/>
      <c r="N93" s="7"/>
      <c r="O93" s="11">
        <v>1.1312681635899935</v>
      </c>
      <c r="P93" s="5">
        <v>0.87102888008503165</v>
      </c>
      <c r="Q93" s="5">
        <v>0.21038368115419329</v>
      </c>
      <c r="R93" s="5"/>
      <c r="S93" s="5"/>
      <c r="T93" s="5"/>
      <c r="U93" s="5"/>
      <c r="V93" s="5"/>
      <c r="W93" s="5"/>
      <c r="X93" s="5"/>
      <c r="Y93" s="5"/>
      <c r="Z93" s="7"/>
      <c r="AA93" s="11"/>
      <c r="BB93" s="11">
        <v>0</v>
      </c>
      <c r="BC93" s="7">
        <v>0</v>
      </c>
    </row>
    <row r="94" spans="1:55" x14ac:dyDescent="0.25">
      <c r="A94" s="2">
        <v>10.01608325449385</v>
      </c>
      <c r="B94" s="2">
        <v>1.1473707672848832</v>
      </c>
      <c r="C94" s="2">
        <v>5</v>
      </c>
      <c r="D94" s="2">
        <v>1</v>
      </c>
      <c r="E94" s="4">
        <v>9</v>
      </c>
      <c r="F94" s="5">
        <v>0.75</v>
      </c>
      <c r="G94" s="5"/>
      <c r="H94" s="5"/>
      <c r="I94" s="5"/>
      <c r="J94" s="5"/>
      <c r="K94" s="5"/>
      <c r="L94" s="5"/>
      <c r="M94" s="5"/>
      <c r="N94" s="7"/>
      <c r="O94" s="11">
        <v>1.1331553650961723</v>
      </c>
      <c r="P94" s="5">
        <v>0.87142549272847658</v>
      </c>
      <c r="Q94" s="5">
        <v>0.2099346317866731</v>
      </c>
      <c r="R94" s="5"/>
      <c r="S94" s="5"/>
      <c r="T94" s="5"/>
      <c r="U94" s="5"/>
      <c r="V94" s="5"/>
      <c r="W94" s="5"/>
      <c r="X94" s="5"/>
      <c r="Y94" s="5"/>
      <c r="Z94" s="7"/>
      <c r="AA94" s="11"/>
      <c r="BB94" s="11">
        <v>0</v>
      </c>
      <c r="BC94" s="7">
        <v>1</v>
      </c>
    </row>
    <row r="95" spans="1:55" x14ac:dyDescent="0.25">
      <c r="A95" s="2">
        <v>10.035126804406872</v>
      </c>
      <c r="B95" s="2">
        <v>1.272337613045238</v>
      </c>
      <c r="C95" s="2">
        <v>9</v>
      </c>
      <c r="D95" s="2">
        <v>1</v>
      </c>
      <c r="E95" s="6">
        <v>9.1</v>
      </c>
      <c r="F95" s="5">
        <v>0.76249999999999996</v>
      </c>
      <c r="G95" s="5"/>
      <c r="H95" s="5"/>
      <c r="I95" s="5"/>
      <c r="J95" s="5"/>
      <c r="K95" s="5"/>
      <c r="L95" s="5"/>
      <c r="M95" s="5"/>
      <c r="N95" s="7"/>
      <c r="O95" s="11">
        <v>1.1385509424144402</v>
      </c>
      <c r="P95" s="5">
        <v>0.87255475010546402</v>
      </c>
      <c r="Q95" s="5">
        <v>0.20865196434540145</v>
      </c>
      <c r="R95" s="5"/>
      <c r="S95" s="5"/>
      <c r="T95" s="5"/>
      <c r="U95" s="5"/>
      <c r="V95" s="5"/>
      <c r="W95" s="5"/>
      <c r="X95" s="5"/>
      <c r="Y95" s="5"/>
      <c r="Z95" s="7"/>
      <c r="AA95" s="11"/>
      <c r="BB95" s="11">
        <v>1</v>
      </c>
      <c r="BC95" s="7">
        <v>1</v>
      </c>
    </row>
    <row r="96" spans="1:55" x14ac:dyDescent="0.25">
      <c r="A96" s="2">
        <v>10.390850550859096</v>
      </c>
      <c r="B96" s="2">
        <v>1.3515500540961511</v>
      </c>
      <c r="C96" s="2">
        <v>7</v>
      </c>
      <c r="D96" s="2">
        <v>1</v>
      </c>
      <c r="E96" s="4">
        <v>9.1999999999999993</v>
      </c>
      <c r="F96" s="5">
        <v>0.77499999999999991</v>
      </c>
      <c r="G96" s="5"/>
      <c r="H96" s="5"/>
      <c r="I96" s="5"/>
      <c r="J96" s="5"/>
      <c r="K96" s="5"/>
      <c r="L96" s="5"/>
      <c r="M96" s="5"/>
      <c r="N96" s="7"/>
      <c r="O96" s="11">
        <v>1.1473707672848832</v>
      </c>
      <c r="P96" s="5">
        <v>0.87438579121201265</v>
      </c>
      <c r="Q96" s="5">
        <v>0.20655916960344725</v>
      </c>
      <c r="R96" s="5"/>
      <c r="S96" s="5"/>
      <c r="T96" s="5"/>
      <c r="U96" s="5"/>
      <c r="V96" s="5"/>
      <c r="W96" s="5"/>
      <c r="X96" s="5"/>
      <c r="Y96" s="5"/>
      <c r="Z96" s="7"/>
      <c r="AA96" s="11"/>
      <c r="BB96" s="11">
        <v>1</v>
      </c>
      <c r="BC96" s="7">
        <v>1</v>
      </c>
    </row>
    <row r="97" spans="1:55" x14ac:dyDescent="0.25">
      <c r="A97" s="2">
        <v>10.459212012085331</v>
      </c>
      <c r="B97" s="2">
        <v>1.4509487300529145</v>
      </c>
      <c r="C97" s="2">
        <v>10</v>
      </c>
      <c r="D97" s="2">
        <v>2</v>
      </c>
      <c r="E97" s="6">
        <v>9.3000000000000007</v>
      </c>
      <c r="F97" s="5">
        <v>0.78750000000000009</v>
      </c>
      <c r="G97" s="5"/>
      <c r="H97" s="5"/>
      <c r="I97" s="5"/>
      <c r="J97" s="5"/>
      <c r="K97" s="5"/>
      <c r="L97" s="5"/>
      <c r="M97" s="5"/>
      <c r="N97" s="7"/>
      <c r="O97" s="11">
        <v>1.272337613045238</v>
      </c>
      <c r="P97" s="5">
        <v>0.89837340501021801</v>
      </c>
      <c r="Q97" s="5">
        <v>0.17757538890898961</v>
      </c>
      <c r="R97" s="5"/>
      <c r="S97" s="5"/>
      <c r="T97" s="5"/>
      <c r="U97" s="5"/>
      <c r="V97" s="5"/>
      <c r="W97" s="5"/>
      <c r="X97" s="5"/>
      <c r="Y97" s="5"/>
      <c r="Z97" s="7"/>
      <c r="AA97" s="11"/>
      <c r="BB97" s="11">
        <v>1</v>
      </c>
      <c r="BC97" s="7">
        <v>0</v>
      </c>
    </row>
    <row r="98" spans="1:55" x14ac:dyDescent="0.25">
      <c r="A98" s="2">
        <v>10.545152134769737</v>
      </c>
      <c r="B98" s="2">
        <v>1.4848728824290447</v>
      </c>
      <c r="C98" s="2">
        <v>9</v>
      </c>
      <c r="D98" s="2">
        <v>0</v>
      </c>
      <c r="E98" s="4">
        <v>9.4</v>
      </c>
      <c r="F98" s="5">
        <v>0.8</v>
      </c>
      <c r="G98" s="5"/>
      <c r="H98" s="5"/>
      <c r="I98" s="5"/>
      <c r="J98" s="5"/>
      <c r="K98" s="5"/>
      <c r="L98" s="5"/>
      <c r="M98" s="5"/>
      <c r="N98" s="7"/>
      <c r="O98" s="11">
        <v>1.3515500540961511</v>
      </c>
      <c r="P98" s="5">
        <v>0.91174035136824894</v>
      </c>
      <c r="Q98" s="5">
        <v>0.16004787214906485</v>
      </c>
      <c r="R98" s="5"/>
      <c r="S98" s="5"/>
      <c r="T98" s="5"/>
      <c r="U98" s="5"/>
      <c r="V98" s="5"/>
      <c r="W98" s="5"/>
      <c r="X98" s="5"/>
      <c r="Y98" s="5"/>
      <c r="Z98" s="7"/>
      <c r="AA98" s="11"/>
      <c r="BB98" s="11">
        <v>0</v>
      </c>
      <c r="BC98" s="7">
        <v>0</v>
      </c>
    </row>
    <row r="99" spans="1:55" x14ac:dyDescent="0.25">
      <c r="A99" s="2">
        <v>10.562486648152104</v>
      </c>
      <c r="B99" s="2">
        <v>1.7822458175942302</v>
      </c>
      <c r="C99" s="2">
        <v>7</v>
      </c>
      <c r="D99" s="2">
        <v>1</v>
      </c>
      <c r="E99" s="6">
        <v>9.5</v>
      </c>
      <c r="F99" s="5">
        <v>0.8125</v>
      </c>
      <c r="G99" s="5"/>
      <c r="H99" s="5"/>
      <c r="I99" s="5"/>
      <c r="J99" s="5"/>
      <c r="K99" s="5"/>
      <c r="L99" s="5"/>
      <c r="M99" s="5"/>
      <c r="N99" s="7"/>
      <c r="O99" s="11">
        <v>1.4509487300529145</v>
      </c>
      <c r="P99" s="5">
        <v>0.92660293139350536</v>
      </c>
      <c r="Q99" s="5">
        <v>0.1392388267983807</v>
      </c>
      <c r="R99" s="5"/>
      <c r="S99" s="5"/>
      <c r="T99" s="5"/>
      <c r="U99" s="5"/>
      <c r="V99" s="5"/>
      <c r="W99" s="5"/>
      <c r="X99" s="5"/>
      <c r="Y99" s="5"/>
      <c r="Z99" s="7"/>
      <c r="AA99" s="11"/>
      <c r="BB99" s="11">
        <v>1</v>
      </c>
      <c r="BC99" s="7">
        <v>1</v>
      </c>
    </row>
    <row r="100" spans="1:55" x14ac:dyDescent="0.25">
      <c r="A100" s="2">
        <v>10.585436567278055</v>
      </c>
      <c r="B100" s="2">
        <v>1.8481750885257497</v>
      </c>
      <c r="C100" s="2">
        <v>5</v>
      </c>
      <c r="D100" s="2">
        <v>0</v>
      </c>
      <c r="E100" s="4">
        <v>9.6</v>
      </c>
      <c r="F100" s="5">
        <v>0.82499999999999996</v>
      </c>
      <c r="G100" s="5"/>
      <c r="H100" s="5"/>
      <c r="I100" s="5"/>
      <c r="J100" s="5"/>
      <c r="K100" s="5"/>
      <c r="L100" s="5"/>
      <c r="M100" s="5"/>
      <c r="N100" s="7"/>
      <c r="O100" s="11">
        <v>1.4848728824290447</v>
      </c>
      <c r="P100" s="5">
        <v>0.93121124965151469</v>
      </c>
      <c r="Q100" s="5">
        <v>0.13247487532943497</v>
      </c>
      <c r="R100" s="5"/>
      <c r="S100" s="5"/>
      <c r="T100" s="5"/>
      <c r="U100" s="5"/>
      <c r="V100" s="5"/>
      <c r="W100" s="5"/>
      <c r="X100" s="5"/>
      <c r="Y100" s="5"/>
      <c r="Z100" s="7"/>
      <c r="AA100" s="11"/>
      <c r="BB100" s="11">
        <v>1</v>
      </c>
      <c r="BC100" s="7">
        <v>0</v>
      </c>
    </row>
    <row r="101" spans="1:55" x14ac:dyDescent="0.25">
      <c r="A101" s="2">
        <v>10.64867091891232</v>
      </c>
      <c r="B101" s="2">
        <v>2.0082370610907674</v>
      </c>
      <c r="C101" s="2">
        <v>6</v>
      </c>
      <c r="D101" s="2">
        <v>0</v>
      </c>
      <c r="E101" s="6">
        <v>9.6999999999999993</v>
      </c>
      <c r="F101" s="5">
        <v>0.83749999999999991</v>
      </c>
      <c r="G101" s="5"/>
      <c r="H101" s="5"/>
      <c r="I101" s="5"/>
      <c r="J101" s="5"/>
      <c r="K101" s="5"/>
      <c r="L101" s="5"/>
      <c r="M101" s="5"/>
      <c r="N101" s="7"/>
      <c r="O101" s="11">
        <v>1.7822458175942302</v>
      </c>
      <c r="P101" s="5">
        <v>0.96264542292956379</v>
      </c>
      <c r="Q101" s="5">
        <v>8.1501112349304489E-2</v>
      </c>
      <c r="R101" s="5"/>
      <c r="S101" s="5"/>
      <c r="T101" s="5"/>
      <c r="U101" s="5"/>
      <c r="V101" s="5"/>
      <c r="W101" s="5"/>
      <c r="X101" s="5"/>
      <c r="Y101" s="5"/>
      <c r="Z101" s="7"/>
      <c r="AA101" s="11"/>
      <c r="BB101" s="11">
        <v>1</v>
      </c>
      <c r="BC101" s="7">
        <v>0</v>
      </c>
    </row>
    <row r="102" spans="1:55" x14ac:dyDescent="0.25">
      <c r="A102" s="3">
        <v>10.74047059541612</v>
      </c>
      <c r="B102" s="3">
        <v>2.6707130018621683</v>
      </c>
      <c r="C102" s="3">
        <v>7</v>
      </c>
      <c r="D102" s="3">
        <v>1</v>
      </c>
      <c r="E102" s="4">
        <v>9.8000000000000007</v>
      </c>
      <c r="F102" s="5">
        <v>0.85000000000000009</v>
      </c>
      <c r="G102" s="5"/>
      <c r="H102" s="5"/>
      <c r="I102" s="5"/>
      <c r="J102" s="5"/>
      <c r="K102" s="5"/>
      <c r="L102" s="5"/>
      <c r="M102" s="5"/>
      <c r="N102" s="7"/>
      <c r="O102" s="11">
        <v>1.8481750885257497</v>
      </c>
      <c r="P102" s="5">
        <v>0.9677114910135084</v>
      </c>
      <c r="Q102" s="5">
        <v>7.2308462320122072E-2</v>
      </c>
      <c r="R102" s="5"/>
      <c r="S102" s="5"/>
      <c r="T102" s="5"/>
      <c r="U102" s="5"/>
      <c r="V102" s="5"/>
      <c r="W102" s="5"/>
      <c r="X102" s="5"/>
      <c r="Y102" s="5"/>
      <c r="Z102" s="7"/>
      <c r="AA102" s="11"/>
      <c r="BB102" s="11">
        <v>0</v>
      </c>
      <c r="BC102" s="7">
        <v>1</v>
      </c>
    </row>
    <row r="103" spans="1:55" x14ac:dyDescent="0.25">
      <c r="A103">
        <f>SUM(A3:A102)</f>
        <v>664.02356028931581</v>
      </c>
      <c r="E103" s="6">
        <v>9.9</v>
      </c>
      <c r="F103" s="5">
        <v>0.86250000000000004</v>
      </c>
      <c r="G103" s="5"/>
      <c r="H103" s="5"/>
      <c r="I103" s="5"/>
      <c r="J103" s="5"/>
      <c r="K103" s="5"/>
      <c r="L103" s="5"/>
      <c r="M103" s="5"/>
      <c r="N103" s="7"/>
      <c r="O103" s="11">
        <v>2.0082370610907674</v>
      </c>
      <c r="P103" s="5">
        <v>0.977690946765161</v>
      </c>
      <c r="Q103" s="5">
        <v>5.3106997488395577E-2</v>
      </c>
      <c r="R103" s="5"/>
      <c r="S103" s="5"/>
      <c r="T103" s="5"/>
      <c r="U103" s="5"/>
      <c r="V103" s="5"/>
      <c r="W103" s="5"/>
      <c r="X103" s="5"/>
      <c r="Y103" s="5"/>
      <c r="Z103" s="7"/>
      <c r="AA103" s="11"/>
      <c r="BB103" s="12">
        <v>0</v>
      </c>
      <c r="BC103" s="10">
        <v>0</v>
      </c>
    </row>
    <row r="104" spans="1:55" x14ac:dyDescent="0.25">
      <c r="E104" s="4">
        <v>10</v>
      </c>
      <c r="F104" s="5">
        <v>0.875</v>
      </c>
      <c r="G104" s="5"/>
      <c r="H104" s="5"/>
      <c r="I104" s="5"/>
      <c r="J104" s="5"/>
      <c r="K104" s="5"/>
      <c r="L104" s="5"/>
      <c r="M104" s="5"/>
      <c r="N104" s="7"/>
      <c r="O104" s="12">
        <v>2.6707130018621683</v>
      </c>
      <c r="P104" s="9">
        <v>0.99621548339994959</v>
      </c>
      <c r="Q104" s="9">
        <v>1.1273589486864079E-2</v>
      </c>
      <c r="R104" s="9"/>
      <c r="S104" s="9"/>
      <c r="T104" s="9"/>
      <c r="U104" s="9"/>
      <c r="V104" s="9"/>
      <c r="W104" s="9"/>
      <c r="X104" s="9"/>
      <c r="Y104" s="9"/>
      <c r="Z104" s="10"/>
      <c r="AA104" s="12"/>
    </row>
    <row r="105" spans="1:55" x14ac:dyDescent="0.25">
      <c r="E105" s="6">
        <v>10.1</v>
      </c>
      <c r="F105" s="5">
        <v>0.88749999999999996</v>
      </c>
      <c r="G105" s="5"/>
      <c r="H105" s="5"/>
      <c r="I105" s="5"/>
      <c r="J105" s="5"/>
      <c r="K105" s="5"/>
      <c r="L105" s="5"/>
      <c r="M105" s="5"/>
      <c r="N105" s="7"/>
      <c r="P105" s="5"/>
      <c r="Q105" s="5"/>
      <c r="R105" s="5"/>
    </row>
    <row r="106" spans="1:55" x14ac:dyDescent="0.25">
      <c r="E106" s="4">
        <v>10.199999999999999</v>
      </c>
      <c r="F106" s="5">
        <v>0.89999999999999991</v>
      </c>
      <c r="G106" s="5"/>
      <c r="H106" s="5"/>
      <c r="I106" s="5"/>
      <c r="J106" s="5"/>
      <c r="K106" s="5"/>
      <c r="L106" s="5"/>
      <c r="M106" s="5"/>
      <c r="N106" s="7"/>
    </row>
    <row r="107" spans="1:55" x14ac:dyDescent="0.25">
      <c r="E107" s="6">
        <v>10.3</v>
      </c>
      <c r="F107" s="5">
        <v>0.91250000000000009</v>
      </c>
      <c r="G107" s="5"/>
      <c r="H107" s="5"/>
      <c r="I107" s="5"/>
      <c r="J107" s="5"/>
      <c r="K107" s="5"/>
      <c r="L107" s="5"/>
      <c r="M107" s="5"/>
      <c r="N107" s="7"/>
    </row>
    <row r="108" spans="1:55" x14ac:dyDescent="0.25">
      <c r="E108" s="4">
        <v>10.4</v>
      </c>
      <c r="F108" s="5">
        <v>0.92500000000000004</v>
      </c>
      <c r="G108" s="5"/>
      <c r="H108" s="5"/>
      <c r="I108" s="5"/>
      <c r="J108" s="5"/>
      <c r="K108" s="5"/>
      <c r="L108" s="5"/>
      <c r="M108" s="5"/>
      <c r="N108" s="7"/>
    </row>
    <row r="109" spans="1:55" x14ac:dyDescent="0.25">
      <c r="E109" s="6">
        <v>10.5</v>
      </c>
      <c r="F109" s="5">
        <v>0.9375</v>
      </c>
      <c r="G109" s="5"/>
      <c r="H109" s="5"/>
      <c r="I109" s="5"/>
      <c r="J109" s="5"/>
      <c r="K109" s="5"/>
      <c r="L109" s="5"/>
      <c r="M109" s="5"/>
      <c r="N109" s="7"/>
    </row>
    <row r="110" spans="1:55" x14ac:dyDescent="0.25">
      <c r="E110" s="4">
        <v>10.6</v>
      </c>
      <c r="F110" s="5">
        <v>0.95</v>
      </c>
      <c r="G110" s="5"/>
      <c r="H110" s="5"/>
      <c r="I110" s="5"/>
      <c r="J110" s="5"/>
      <c r="K110" s="5"/>
      <c r="L110" s="5"/>
      <c r="M110" s="5"/>
      <c r="N110" s="7"/>
    </row>
    <row r="111" spans="1:55" x14ac:dyDescent="0.25">
      <c r="E111" s="6">
        <v>10.7</v>
      </c>
      <c r="F111" s="5">
        <v>0.96249999999999991</v>
      </c>
      <c r="G111" s="5"/>
      <c r="H111" s="5"/>
      <c r="I111" s="5"/>
      <c r="J111" s="5"/>
      <c r="K111" s="5"/>
      <c r="L111" s="5"/>
      <c r="M111" s="5"/>
      <c r="N111" s="7"/>
    </row>
    <row r="112" spans="1:55" x14ac:dyDescent="0.25">
      <c r="E112" s="4">
        <v>10.8</v>
      </c>
      <c r="F112" s="5">
        <v>0.97500000000000009</v>
      </c>
      <c r="G112" s="5"/>
      <c r="H112" s="5"/>
      <c r="I112" s="5"/>
      <c r="J112" s="5"/>
      <c r="K112" s="5"/>
      <c r="L112" s="5"/>
      <c r="M112" s="5"/>
      <c r="N112" s="7"/>
    </row>
    <row r="113" spans="5:14" x14ac:dyDescent="0.25">
      <c r="E113" s="6">
        <v>10.9</v>
      </c>
      <c r="F113" s="5">
        <v>0.98750000000000004</v>
      </c>
      <c r="G113" s="5"/>
      <c r="H113" s="5"/>
      <c r="I113" s="5"/>
      <c r="J113" s="5"/>
      <c r="K113" s="5"/>
      <c r="L113" s="5"/>
      <c r="M113" s="5"/>
      <c r="N113" s="7"/>
    </row>
    <row r="114" spans="5:14" x14ac:dyDescent="0.25">
      <c r="E114" s="4">
        <v>11</v>
      </c>
      <c r="F114" s="5">
        <v>1</v>
      </c>
      <c r="G114" s="5"/>
      <c r="H114" s="5"/>
      <c r="I114" s="5"/>
      <c r="J114" s="5"/>
      <c r="K114" s="5"/>
      <c r="L114" s="5"/>
      <c r="M114" s="5"/>
      <c r="N114" s="7"/>
    </row>
    <row r="115" spans="5:14" x14ac:dyDescent="0.25">
      <c r="E115" s="6">
        <v>11.1</v>
      </c>
      <c r="F115" s="5">
        <v>1</v>
      </c>
      <c r="G115" s="5"/>
      <c r="H115" s="5"/>
      <c r="I115" s="5"/>
      <c r="J115" s="5"/>
      <c r="K115" s="5"/>
      <c r="L115" s="5"/>
      <c r="M115" s="5"/>
      <c r="N115" s="7"/>
    </row>
    <row r="116" spans="5:14" x14ac:dyDescent="0.25">
      <c r="E116" s="4">
        <v>11.2</v>
      </c>
      <c r="F116" s="5">
        <v>1</v>
      </c>
      <c r="G116" s="5"/>
      <c r="H116" s="5"/>
      <c r="I116" s="5"/>
      <c r="J116" s="5"/>
      <c r="K116" s="5"/>
      <c r="L116" s="5"/>
      <c r="M116" s="5"/>
      <c r="N116" s="7"/>
    </row>
    <row r="117" spans="5:14" x14ac:dyDescent="0.25">
      <c r="E117" s="6">
        <v>11.3</v>
      </c>
      <c r="F117" s="5">
        <v>1</v>
      </c>
      <c r="G117" s="5"/>
      <c r="H117" s="5"/>
      <c r="I117" s="5"/>
      <c r="J117" s="5"/>
      <c r="K117" s="5"/>
      <c r="L117" s="5"/>
      <c r="M117" s="5"/>
      <c r="N117" s="7"/>
    </row>
    <row r="118" spans="5:14" x14ac:dyDescent="0.25">
      <c r="E118" s="4">
        <v>11.4</v>
      </c>
      <c r="F118" s="5">
        <v>1</v>
      </c>
      <c r="G118" s="5"/>
      <c r="H118" s="5"/>
      <c r="I118" s="5"/>
      <c r="J118" s="5"/>
      <c r="K118" s="5"/>
      <c r="L118" s="5"/>
      <c r="M118" s="5"/>
      <c r="N118" s="7"/>
    </row>
    <row r="119" spans="5:14" x14ac:dyDescent="0.25">
      <c r="E119" s="6">
        <v>11.5</v>
      </c>
      <c r="F119" s="5">
        <v>1</v>
      </c>
      <c r="G119" s="5"/>
      <c r="H119" s="5"/>
      <c r="I119" s="5"/>
      <c r="J119" s="5"/>
      <c r="K119" s="5"/>
      <c r="L119" s="5"/>
      <c r="M119" s="5"/>
      <c r="N119" s="7"/>
    </row>
    <row r="120" spans="5:14" x14ac:dyDescent="0.25">
      <c r="E120" s="4">
        <v>11.6</v>
      </c>
      <c r="F120" s="5">
        <v>1</v>
      </c>
      <c r="G120" s="5"/>
      <c r="H120" s="5"/>
      <c r="I120" s="5"/>
      <c r="J120" s="5"/>
      <c r="K120" s="5"/>
      <c r="L120" s="5"/>
      <c r="M120" s="5"/>
      <c r="N120" s="7"/>
    </row>
    <row r="121" spans="5:14" x14ac:dyDescent="0.25">
      <c r="E121" s="6">
        <v>11.7</v>
      </c>
      <c r="F121" s="5">
        <v>1</v>
      </c>
      <c r="G121" s="5"/>
      <c r="H121" s="5"/>
      <c r="I121" s="5"/>
      <c r="J121" s="5"/>
      <c r="K121" s="5"/>
      <c r="L121" s="5"/>
      <c r="M121" s="5"/>
      <c r="N121" s="7"/>
    </row>
    <row r="122" spans="5:14" x14ac:dyDescent="0.25">
      <c r="E122" s="4">
        <v>11.8</v>
      </c>
      <c r="F122" s="5">
        <v>1</v>
      </c>
      <c r="G122" s="5"/>
      <c r="H122" s="5"/>
      <c r="I122" s="5"/>
      <c r="J122" s="5"/>
      <c r="K122" s="5"/>
      <c r="L122" s="5"/>
      <c r="M122" s="5"/>
      <c r="N122" s="7"/>
    </row>
    <row r="123" spans="5:14" x14ac:dyDescent="0.25">
      <c r="E123" s="8">
        <v>11.9</v>
      </c>
      <c r="F123" s="9">
        <v>1</v>
      </c>
      <c r="G123" s="9"/>
      <c r="H123" s="9"/>
      <c r="I123" s="9"/>
      <c r="J123" s="9"/>
      <c r="K123" s="9"/>
      <c r="L123" s="9"/>
      <c r="M123" s="9"/>
      <c r="N123" s="10"/>
    </row>
  </sheetData>
  <sortState ref="B3:B102">
    <sortCondition ref="B3"/>
  </sortState>
  <mergeCells count="26">
    <mergeCell ref="AQ5:AR5"/>
    <mergeCell ref="AQ6:AR6"/>
    <mergeCell ref="AA3:AC3"/>
    <mergeCell ref="AA2:AH2"/>
    <mergeCell ref="AI3:AK3"/>
    <mergeCell ref="AI2:AP2"/>
    <mergeCell ref="AQ2:AR3"/>
    <mergeCell ref="AQ4:AR4"/>
    <mergeCell ref="E3:G3"/>
    <mergeCell ref="E2:N2"/>
    <mergeCell ref="O3:Q3"/>
    <mergeCell ref="O2:Z2"/>
    <mergeCell ref="E1:AP1"/>
    <mergeCell ref="AQ1:AZ1"/>
    <mergeCell ref="BA2:BB2"/>
    <mergeCell ref="BC2:BD2"/>
    <mergeCell ref="BA1:BF1"/>
    <mergeCell ref="A1:D1"/>
    <mergeCell ref="AS2:AT2"/>
    <mergeCell ref="AU2:AV2"/>
    <mergeCell ref="AW2:AX2"/>
    <mergeCell ref="BD5:BG5"/>
    <mergeCell ref="BD6:BG6"/>
    <mergeCell ref="BD7:BG7"/>
    <mergeCell ref="BD8:BG8"/>
    <mergeCell ref="AY2:AZ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2020-10-01T09:40:21Z</dcterms:modified>
</cp:coreProperties>
</file>